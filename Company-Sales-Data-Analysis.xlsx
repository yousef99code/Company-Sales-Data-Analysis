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oftLaptop\Documents\"/>
    </mc:Choice>
  </mc:AlternateContent>
  <xr:revisionPtr revIDLastSave="0" documentId="13_ncr:1_{8EE7F7CA-5B38-468D-97BE-EBCCC0437507}" xr6:coauthVersionLast="47" xr6:coauthVersionMax="47" xr10:uidLastSave="{00000000-0000-0000-0000-000000000000}"/>
  <bookViews>
    <workbookView xWindow="-120" yWindow="-120" windowWidth="20730" windowHeight="11160" firstSheet="2" activeTab="7" xr2:uid="{00000000-000D-0000-FFFF-FFFF00000000}"/>
  </bookViews>
  <sheets>
    <sheet name=" Gross_sales" sheetId="4" r:id="rId1"/>
    <sheet name="COST&amp;PROFIT" sheetId="8" r:id="rId2"/>
    <sheet name="Sheet1" sheetId="10" r:id="rId3"/>
    <sheet name="Basic" sheetId="1" r:id="rId4"/>
    <sheet name="quanty,afterdiscount" sheetId="5" r:id="rId5"/>
    <sheet name="discount" sheetId="6" r:id="rId6"/>
    <sheet name="DataBase" sheetId="2" r:id="rId7"/>
    <sheet name="DASHBOARD" sheetId="9" r:id="rId8"/>
  </sheets>
  <definedNames>
    <definedName name="_xlnm._FilterDatabase" localSheetId="3" hidden="1">Basic!$E$2:$E$801</definedName>
    <definedName name="_xlcn.WorksheetConnection_Sales_Dataset_800_Rows_Enhanced.xlsxSALCE" hidden="1">SALCE[]</definedName>
    <definedName name="_xlnm.Extract" localSheetId="3">Basic!#REF!</definedName>
    <definedName name="Slicer_Customer">#N/A</definedName>
    <definedName name="Slicer_Product">#N/A</definedName>
    <definedName name="Slicer_Profit">#N/A</definedName>
    <definedName name="Slicer_Region">#N/A</definedName>
    <definedName name="قاعدة">#REF!</definedName>
  </definedNames>
  <calcPr calcId="191029"/>
  <pivotCaches>
    <pivotCache cacheId="144" r:id="rId9"/>
    <pivotCache cacheId="147" r:id="rId10"/>
    <pivotCache cacheId="150" r:id="rId11"/>
    <pivotCache cacheId="153" r:id="rId12"/>
    <pivotCache cacheId="156"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CE" name="SALCE" connection="WorksheetConnection_Sales_Dataset_800_Rows_Enhanced.xlsx!SALC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 i="1" l="1"/>
  <c r="O14" i="1" s="1"/>
  <c r="L2" i="1"/>
  <c r="L3" i="1"/>
  <c r="L4" i="1"/>
  <c r="L5" i="1"/>
  <c r="L6" i="1"/>
  <c r="L7" i="1"/>
  <c r="L8" i="1"/>
  <c r="L9" i="1"/>
  <c r="L10" i="1"/>
  <c r="L11" i="1"/>
  <c r="L12" i="1"/>
  <c r="L13"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O4" i="1"/>
  <c r="M7" i="1"/>
  <c r="O7" i="1"/>
  <c r="Q7" i="1"/>
  <c r="O10" i="1"/>
  <c r="O11" i="1"/>
  <c r="O12" i="1"/>
  <c r="M13" i="1"/>
  <c r="O13" i="1"/>
  <c r="Q13" i="1"/>
  <c r="O15" i="1"/>
  <c r="O16" i="1"/>
  <c r="M17" i="1"/>
  <c r="O17" i="1"/>
  <c r="Q17" i="1"/>
  <c r="M18" i="1"/>
  <c r="O18" i="1"/>
  <c r="Q18" i="1"/>
  <c r="O21" i="1"/>
  <c r="O22" i="1"/>
  <c r="O23" i="1"/>
  <c r="M24" i="1"/>
  <c r="O24" i="1"/>
  <c r="Q24" i="1"/>
  <c r="O26" i="1"/>
  <c r="O27" i="1"/>
  <c r="M28" i="1"/>
  <c r="O28" i="1"/>
  <c r="Q28" i="1"/>
  <c r="O30" i="1"/>
  <c r="O31" i="1"/>
  <c r="O32" i="1"/>
  <c r="O33" i="1"/>
  <c r="O34" i="1"/>
  <c r="O35" i="1"/>
  <c r="O36" i="1"/>
  <c r="O37" i="1"/>
  <c r="O38" i="1"/>
  <c r="M39" i="1"/>
  <c r="O39" i="1"/>
  <c r="Q39" i="1"/>
  <c r="O40" i="1"/>
  <c r="O41" i="1"/>
  <c r="O42" i="1"/>
  <c r="O43" i="1"/>
  <c r="O44" i="1"/>
  <c r="O45" i="1"/>
  <c r="M46" i="1"/>
  <c r="O46" i="1"/>
  <c r="Q46" i="1"/>
  <c r="O47" i="1"/>
  <c r="M48" i="1"/>
  <c r="O48" i="1"/>
  <c r="Q48" i="1"/>
  <c r="O50" i="1"/>
  <c r="M51" i="1"/>
  <c r="O51" i="1"/>
  <c r="O54" i="1"/>
  <c r="M55" i="1"/>
  <c r="O55" i="1"/>
  <c r="M274" i="1"/>
  <c r="O274" i="1"/>
  <c r="Q274" i="1"/>
  <c r="M275" i="1"/>
  <c r="O275" i="1"/>
  <c r="Q275" i="1"/>
  <c r="M276" i="1"/>
  <c r="O276" i="1"/>
  <c r="Q276" i="1"/>
  <c r="M277" i="1"/>
  <c r="O277" i="1"/>
  <c r="Q277" i="1"/>
  <c r="M278" i="1"/>
  <c r="O278" i="1"/>
  <c r="Q278" i="1"/>
  <c r="M279" i="1"/>
  <c r="O279" i="1"/>
  <c r="Q279" i="1"/>
  <c r="M280" i="1"/>
  <c r="O280" i="1"/>
  <c r="Q280" i="1"/>
  <c r="M281" i="1"/>
  <c r="O281" i="1"/>
  <c r="Q281" i="1"/>
  <c r="M282" i="1"/>
  <c r="O282" i="1"/>
  <c r="Q282" i="1"/>
  <c r="M283" i="1"/>
  <c r="O283" i="1"/>
  <c r="Q283" i="1"/>
  <c r="M284" i="1"/>
  <c r="O284" i="1"/>
  <c r="Q284" i="1"/>
  <c r="M285" i="1"/>
  <c r="O285" i="1"/>
  <c r="Q285" i="1"/>
  <c r="M286" i="1"/>
  <c r="O286" i="1"/>
  <c r="Q286" i="1"/>
  <c r="M287" i="1"/>
  <c r="O287" i="1"/>
  <c r="Q287" i="1"/>
  <c r="M288" i="1"/>
  <c r="O288" i="1"/>
  <c r="Q288" i="1"/>
  <c r="M289" i="1"/>
  <c r="O289" i="1"/>
  <c r="Q289" i="1"/>
  <c r="M290" i="1"/>
  <c r="O290" i="1"/>
  <c r="Q290" i="1"/>
  <c r="M291" i="1"/>
  <c r="O291" i="1"/>
  <c r="Q291" i="1"/>
  <c r="M292" i="1"/>
  <c r="O292" i="1"/>
  <c r="Q292" i="1"/>
  <c r="M293" i="1"/>
  <c r="O293" i="1"/>
  <c r="Q293" i="1"/>
  <c r="M294" i="1"/>
  <c r="O294" i="1"/>
  <c r="Q294" i="1"/>
  <c r="M295" i="1"/>
  <c r="O295" i="1"/>
  <c r="Q295" i="1"/>
  <c r="M296" i="1"/>
  <c r="O296" i="1"/>
  <c r="Q296" i="1"/>
  <c r="M297" i="1"/>
  <c r="O297" i="1"/>
  <c r="Q297" i="1"/>
  <c r="M298" i="1"/>
  <c r="O298" i="1"/>
  <c r="Q298" i="1"/>
  <c r="M299" i="1"/>
  <c r="O299" i="1"/>
  <c r="Q299" i="1"/>
  <c r="M300" i="1"/>
  <c r="O300" i="1"/>
  <c r="M301" i="1"/>
  <c r="O301" i="1"/>
  <c r="Q301" i="1"/>
  <c r="M302" i="1"/>
  <c r="O302" i="1"/>
  <c r="Q302" i="1"/>
  <c r="M303" i="1"/>
  <c r="O303" i="1"/>
  <c r="Q303" i="1"/>
  <c r="M304" i="1"/>
  <c r="O304" i="1"/>
  <c r="Q304" i="1"/>
  <c r="M305" i="1"/>
  <c r="O305" i="1"/>
  <c r="M306" i="1"/>
  <c r="O306" i="1"/>
  <c r="Q306" i="1"/>
  <c r="M307" i="1"/>
  <c r="O307" i="1"/>
  <c r="Q307" i="1"/>
  <c r="M308" i="1"/>
  <c r="O308" i="1"/>
  <c r="Q308" i="1"/>
  <c r="M309" i="1"/>
  <c r="O309" i="1"/>
  <c r="Q309" i="1"/>
  <c r="M310" i="1"/>
  <c r="O310" i="1"/>
  <c r="Q310" i="1"/>
  <c r="M311" i="1"/>
  <c r="O311" i="1"/>
  <c r="Q311" i="1"/>
  <c r="M312" i="1"/>
  <c r="O312" i="1"/>
  <c r="Q312" i="1"/>
  <c r="M313" i="1"/>
  <c r="O313" i="1"/>
  <c r="Q313" i="1"/>
  <c r="M314" i="1"/>
  <c r="O314" i="1"/>
  <c r="M315" i="1"/>
  <c r="O315" i="1"/>
  <c r="Q315" i="1"/>
  <c r="M316" i="1"/>
  <c r="O316" i="1"/>
  <c r="Q316" i="1"/>
  <c r="M317" i="1"/>
  <c r="O317" i="1"/>
  <c r="Q317" i="1"/>
  <c r="O318" i="1"/>
  <c r="M319" i="1"/>
  <c r="O319" i="1"/>
  <c r="M320" i="1"/>
  <c r="O320" i="1"/>
  <c r="Q320" i="1"/>
  <c r="O321" i="1"/>
  <c r="M322" i="1"/>
  <c r="O322" i="1"/>
  <c r="Q322" i="1"/>
  <c r="M324" i="1"/>
  <c r="O324" i="1"/>
  <c r="Q324" i="1"/>
  <c r="M325" i="1"/>
  <c r="O325" i="1"/>
  <c r="Q325" i="1"/>
  <c r="M326" i="1"/>
  <c r="O326" i="1"/>
  <c r="M327" i="1"/>
  <c r="O327" i="1"/>
  <c r="Q327" i="1"/>
  <c r="M328" i="1"/>
  <c r="O328" i="1"/>
  <c r="Q328" i="1"/>
  <c r="M329" i="1"/>
  <c r="O329" i="1"/>
  <c r="Q329" i="1"/>
  <c r="M330" i="1"/>
  <c r="O330" i="1"/>
  <c r="Q330" i="1"/>
  <c r="M331" i="1"/>
  <c r="O331" i="1"/>
  <c r="Q331" i="1"/>
  <c r="M332" i="1"/>
  <c r="O332" i="1"/>
  <c r="Q332" i="1"/>
  <c r="M333" i="1"/>
  <c r="O333" i="1"/>
  <c r="Q333" i="1"/>
  <c r="M334" i="1"/>
  <c r="O334" i="1"/>
  <c r="Q334" i="1"/>
  <c r="M335" i="1"/>
  <c r="O335" i="1"/>
  <c r="Q335" i="1"/>
  <c r="M336" i="1"/>
  <c r="O336" i="1"/>
  <c r="Q336" i="1"/>
  <c r="M337" i="1"/>
  <c r="O337" i="1"/>
  <c r="Q337" i="1"/>
  <c r="M338" i="1"/>
  <c r="O338" i="1"/>
  <c r="Q338" i="1"/>
  <c r="M339" i="1"/>
  <c r="O339" i="1"/>
  <c r="Q339" i="1"/>
  <c r="M340" i="1"/>
  <c r="O340" i="1"/>
  <c r="Q340" i="1"/>
  <c r="M341" i="1"/>
  <c r="O341" i="1"/>
  <c r="Q341" i="1"/>
  <c r="M342" i="1"/>
  <c r="O342" i="1"/>
  <c r="Q342" i="1"/>
  <c r="M343" i="1"/>
  <c r="O343" i="1"/>
  <c r="Q343" i="1"/>
  <c r="M344" i="1"/>
  <c r="O344" i="1"/>
  <c r="Q344" i="1"/>
  <c r="M345" i="1"/>
  <c r="O345" i="1"/>
  <c r="Q345" i="1"/>
  <c r="M346" i="1"/>
  <c r="O346" i="1"/>
  <c r="Q346" i="1"/>
  <c r="M347" i="1"/>
  <c r="O347" i="1"/>
  <c r="Q347" i="1"/>
  <c r="M348" i="1"/>
  <c r="O348" i="1"/>
  <c r="Q348" i="1"/>
  <c r="M349" i="1"/>
  <c r="O349" i="1"/>
  <c r="Q349" i="1"/>
  <c r="M350" i="1"/>
  <c r="O350" i="1"/>
  <c r="Q350" i="1"/>
  <c r="M351" i="1"/>
  <c r="O351" i="1"/>
  <c r="Q351" i="1"/>
  <c r="M352" i="1"/>
  <c r="O352" i="1"/>
  <c r="Q352" i="1"/>
  <c r="M353" i="1"/>
  <c r="O353" i="1"/>
  <c r="Q353" i="1"/>
  <c r="M354" i="1"/>
  <c r="O354" i="1"/>
  <c r="Q354" i="1"/>
  <c r="M355" i="1"/>
  <c r="O355" i="1"/>
  <c r="Q355" i="1"/>
  <c r="M356" i="1"/>
  <c r="O356" i="1"/>
  <c r="Q356" i="1"/>
  <c r="M357" i="1"/>
  <c r="O357" i="1"/>
  <c r="Q357" i="1"/>
  <c r="M358" i="1"/>
  <c r="O358" i="1"/>
  <c r="Q358" i="1"/>
  <c r="M359" i="1"/>
  <c r="O359" i="1"/>
  <c r="Q359" i="1"/>
  <c r="M360" i="1"/>
  <c r="O360" i="1"/>
  <c r="Q360" i="1"/>
  <c r="M361" i="1"/>
  <c r="O361" i="1"/>
  <c r="Q361" i="1"/>
  <c r="M362" i="1"/>
  <c r="O362" i="1"/>
  <c r="Q362" i="1"/>
  <c r="M363" i="1"/>
  <c r="O363" i="1"/>
  <c r="Q363" i="1"/>
  <c r="M364" i="1"/>
  <c r="O364" i="1"/>
  <c r="Q364" i="1"/>
  <c r="M365" i="1"/>
  <c r="O365" i="1"/>
  <c r="Q365" i="1"/>
  <c r="M366" i="1"/>
  <c r="O366" i="1"/>
  <c r="Q366" i="1"/>
  <c r="M367" i="1"/>
  <c r="O367" i="1"/>
  <c r="Q367" i="1"/>
  <c r="M368" i="1"/>
  <c r="O368" i="1"/>
  <c r="Q368" i="1"/>
  <c r="M370" i="1"/>
  <c r="O370" i="1"/>
  <c r="M371" i="1"/>
  <c r="O371" i="1"/>
  <c r="M372" i="1"/>
  <c r="O372" i="1"/>
  <c r="O373" i="1"/>
  <c r="O374" i="1"/>
  <c r="O375" i="1"/>
  <c r="O376" i="1"/>
  <c r="O377" i="1"/>
  <c r="O378" i="1"/>
  <c r="O379" i="1"/>
  <c r="O380" i="1"/>
  <c r="O381" i="1"/>
  <c r="M382" i="1"/>
  <c r="O382" i="1"/>
  <c r="Q382" i="1"/>
  <c r="O383" i="1"/>
  <c r="O384" i="1"/>
  <c r="O385" i="1"/>
  <c r="O386" i="1"/>
  <c r="O387" i="1"/>
  <c r="O388" i="1"/>
  <c r="M389" i="1"/>
  <c r="O389" i="1"/>
  <c r="Q389" i="1"/>
  <c r="O390" i="1"/>
  <c r="O391" i="1"/>
  <c r="O392" i="1"/>
  <c r="O393" i="1"/>
  <c r="O394" i="1"/>
  <c r="O395" i="1"/>
  <c r="M396" i="1"/>
  <c r="O396" i="1"/>
  <c r="O398" i="1"/>
  <c r="M399" i="1"/>
  <c r="O399" i="1"/>
  <c r="Q399" i="1"/>
  <c r="O400" i="1"/>
  <c r="O401" i="1"/>
  <c r="M402" i="1"/>
  <c r="O402" i="1"/>
  <c r="M404" i="1"/>
  <c r="O404" i="1"/>
  <c r="Q404" i="1"/>
  <c r="O408" i="1"/>
  <c r="O411" i="1"/>
  <c r="M412" i="1"/>
  <c r="O412" i="1"/>
  <c r="O414" i="1"/>
  <c r="O415" i="1"/>
  <c r="O416" i="1"/>
  <c r="M417" i="1"/>
  <c r="O417" i="1"/>
  <c r="Q417" i="1"/>
  <c r="O420" i="1"/>
  <c r="O421" i="1"/>
  <c r="O422" i="1"/>
  <c r="O423" i="1"/>
  <c r="M424" i="1"/>
  <c r="O424" i="1"/>
  <c r="Q424" i="1"/>
  <c r="O425" i="1"/>
  <c r="O426" i="1"/>
  <c r="O427" i="1"/>
  <c r="M430" i="1"/>
  <c r="O430" i="1"/>
  <c r="Q430" i="1"/>
  <c r="O431" i="1"/>
  <c r="O432" i="1"/>
  <c r="M433" i="1"/>
  <c r="O433" i="1"/>
  <c r="Q433" i="1"/>
  <c r="M435" i="1"/>
  <c r="O435" i="1"/>
  <c r="Q435" i="1"/>
  <c r="O436" i="1"/>
  <c r="O437" i="1"/>
  <c r="O438" i="1"/>
  <c r="O439" i="1"/>
  <c r="O440" i="1"/>
  <c r="O441" i="1"/>
  <c r="O442" i="1"/>
  <c r="O443" i="1"/>
  <c r="O444" i="1"/>
  <c r="M447" i="1"/>
  <c r="O447" i="1"/>
  <c r="O448" i="1"/>
  <c r="O449" i="1"/>
  <c r="O450" i="1"/>
  <c r="O451" i="1"/>
  <c r="O452" i="1"/>
  <c r="O453" i="1"/>
  <c r="M454" i="1"/>
  <c r="O454" i="1"/>
  <c r="Q454" i="1"/>
  <c r="O456" i="1"/>
  <c r="O457" i="1"/>
  <c r="O458" i="1"/>
  <c r="O459" i="1"/>
  <c r="O460" i="1"/>
  <c r="M461" i="1"/>
  <c r="O461" i="1"/>
  <c r="O462" i="1"/>
  <c r="O463" i="1"/>
  <c r="O468" i="1"/>
  <c r="O469" i="1"/>
  <c r="O470" i="1"/>
  <c r="O476" i="1"/>
  <c r="O479" i="1"/>
  <c r="O484" i="1"/>
  <c r="O488" i="1"/>
  <c r="O491" i="1"/>
  <c r="O493" i="1"/>
  <c r="O498" i="1"/>
  <c r="O527" i="1"/>
  <c r="O530" i="1"/>
  <c r="O545" i="1"/>
  <c r="O550" i="1"/>
  <c r="O553" i="1"/>
  <c r="O575" i="1"/>
  <c r="O606" i="1"/>
  <c r="M624" i="1"/>
  <c r="O624" i="1"/>
  <c r="O643" i="1"/>
  <c r="O693" i="1"/>
  <c r="O740" i="1"/>
  <c r="O741" i="1"/>
  <c r="O762" i="1"/>
  <c r="O763" i="1"/>
  <c r="Q319" i="1" l="1"/>
  <c r="Q412" i="1"/>
  <c r="O209" i="1"/>
  <c r="M210" i="1"/>
  <c r="O210" i="1"/>
  <c r="Q210" i="1"/>
  <c r="M211" i="1"/>
  <c r="O211" i="1"/>
  <c r="Q211" i="1"/>
  <c r="M212" i="1"/>
  <c r="O212" i="1"/>
  <c r="Q212" i="1"/>
  <c r="M213" i="1"/>
  <c r="O213" i="1"/>
  <c r="Q213" i="1"/>
  <c r="M215" i="1"/>
  <c r="O215" i="1"/>
  <c r="Q215" i="1"/>
  <c r="M216" i="1"/>
  <c r="O216" i="1"/>
  <c r="Q216" i="1"/>
  <c r="M217" i="1"/>
  <c r="O217" i="1"/>
  <c r="Q217" i="1"/>
  <c r="M218" i="1"/>
  <c r="O218" i="1"/>
  <c r="Q218" i="1"/>
  <c r="M219" i="1"/>
  <c r="O219" i="1"/>
  <c r="Q219" i="1"/>
  <c r="M220" i="1"/>
  <c r="O220" i="1"/>
  <c r="Q220" i="1"/>
  <c r="M221" i="1"/>
  <c r="O221" i="1"/>
  <c r="Q221" i="1"/>
  <c r="M222" i="1"/>
  <c r="O222" i="1"/>
  <c r="Q222" i="1"/>
  <c r="M223" i="1"/>
  <c r="O223" i="1"/>
  <c r="Q223" i="1"/>
  <c r="M224" i="1"/>
  <c r="O224" i="1"/>
  <c r="Q224" i="1"/>
  <c r="M225" i="1"/>
  <c r="O225" i="1"/>
  <c r="Q225" i="1"/>
  <c r="M226" i="1"/>
  <c r="O226" i="1"/>
  <c r="Q226" i="1"/>
  <c r="M227" i="1"/>
  <c r="O227" i="1"/>
  <c r="Q227" i="1"/>
  <c r="M228" i="1"/>
  <c r="O228" i="1"/>
  <c r="Q228" i="1"/>
  <c r="M229" i="1"/>
  <c r="O229" i="1"/>
  <c r="Q229" i="1"/>
  <c r="M230" i="1"/>
  <c r="O230" i="1"/>
  <c r="Q230" i="1"/>
  <c r="M231" i="1"/>
  <c r="O231" i="1"/>
  <c r="Q231" i="1"/>
  <c r="M232" i="1"/>
  <c r="O232" i="1"/>
  <c r="Q232" i="1"/>
  <c r="M233" i="1"/>
  <c r="O233" i="1"/>
  <c r="Q233" i="1"/>
  <c r="M234" i="1"/>
  <c r="O234" i="1"/>
  <c r="Q234" i="1"/>
  <c r="M235" i="1"/>
  <c r="O235" i="1"/>
  <c r="Q235" i="1"/>
  <c r="M236" i="1"/>
  <c r="O236" i="1"/>
  <c r="Q236" i="1"/>
  <c r="M237" i="1"/>
  <c r="O237" i="1"/>
  <c r="Q237" i="1"/>
  <c r="M238" i="1"/>
  <c r="O238" i="1"/>
  <c r="Q238" i="1"/>
  <c r="M239" i="1"/>
  <c r="O239" i="1"/>
  <c r="Q239" i="1"/>
  <c r="M240" i="1"/>
  <c r="O240" i="1"/>
  <c r="Q240" i="1"/>
  <c r="M241" i="1"/>
  <c r="O241" i="1"/>
  <c r="Q241" i="1"/>
  <c r="M242" i="1"/>
  <c r="O242" i="1"/>
  <c r="Q242" i="1"/>
  <c r="M243" i="1"/>
  <c r="O243" i="1"/>
  <c r="Q243" i="1"/>
  <c r="M244" i="1"/>
  <c r="O244" i="1"/>
  <c r="Q244" i="1"/>
  <c r="M245" i="1"/>
  <c r="O245" i="1"/>
  <c r="M246" i="1"/>
  <c r="O246" i="1"/>
  <c r="Q246" i="1"/>
  <c r="M247" i="1"/>
  <c r="O247" i="1"/>
  <c r="Q247" i="1"/>
  <c r="M248" i="1"/>
  <c r="O248" i="1"/>
  <c r="Q248" i="1"/>
  <c r="M249" i="1"/>
  <c r="O249" i="1"/>
  <c r="Q249" i="1"/>
  <c r="M250" i="1"/>
  <c r="O250" i="1"/>
  <c r="Q250" i="1"/>
  <c r="M251" i="1"/>
  <c r="O251" i="1"/>
  <c r="Q251" i="1"/>
  <c r="M252" i="1"/>
  <c r="O252" i="1"/>
  <c r="Q252" i="1"/>
  <c r="M253" i="1"/>
  <c r="O253" i="1"/>
  <c r="Q253" i="1"/>
  <c r="M254" i="1"/>
  <c r="O254" i="1"/>
  <c r="Q254" i="1"/>
  <c r="M255" i="1"/>
  <c r="O255" i="1"/>
  <c r="Q255" i="1"/>
  <c r="M256" i="1"/>
  <c r="O256" i="1"/>
  <c r="Q256" i="1"/>
  <c r="M257" i="1"/>
  <c r="O257" i="1"/>
  <c r="Q257" i="1"/>
  <c r="M258" i="1"/>
  <c r="O258" i="1"/>
  <c r="Q258" i="1"/>
  <c r="M259" i="1"/>
  <c r="O259" i="1"/>
  <c r="Q259" i="1"/>
  <c r="M260" i="1"/>
  <c r="O260" i="1"/>
  <c r="Q260" i="1"/>
  <c r="M261" i="1"/>
  <c r="O261" i="1"/>
  <c r="Q261" i="1"/>
  <c r="M262" i="1"/>
  <c r="O262" i="1"/>
  <c r="Q262" i="1"/>
  <c r="M263" i="1"/>
  <c r="O263" i="1"/>
  <c r="Q263" i="1"/>
  <c r="M264" i="1"/>
  <c r="O264" i="1"/>
  <c r="Q264" i="1"/>
  <c r="M265" i="1"/>
  <c r="O265" i="1"/>
  <c r="Q265" i="1"/>
  <c r="M266" i="1"/>
  <c r="O266" i="1"/>
  <c r="Q266" i="1"/>
  <c r="M267" i="1"/>
  <c r="O267" i="1"/>
  <c r="Q267" i="1"/>
  <c r="M268" i="1"/>
  <c r="O268" i="1"/>
  <c r="Q268" i="1"/>
  <c r="M269" i="1"/>
  <c r="O269" i="1"/>
  <c r="Q269" i="1"/>
  <c r="M270" i="1"/>
  <c r="O270" i="1"/>
  <c r="Q270" i="1"/>
  <c r="M271" i="1"/>
  <c r="O271" i="1"/>
  <c r="Q271" i="1"/>
  <c r="M272" i="1"/>
  <c r="O272" i="1"/>
  <c r="Q272" i="1"/>
  <c r="M273" i="1"/>
  <c r="Q273" i="1" s="1"/>
  <c r="O273" i="1"/>
  <c r="Q314" i="1"/>
  <c r="Q245" i="1"/>
  <c r="Q305" i="1"/>
  <c r="Q300" i="1"/>
  <c r="Q461" i="1"/>
  <c r="Q51" i="1"/>
  <c r="Q55" i="1"/>
  <c r="Q371" i="1"/>
  <c r="Q624" i="1"/>
  <c r="M56" i="1"/>
  <c r="O56" i="1"/>
  <c r="Q56" i="1"/>
  <c r="O58" i="1"/>
  <c r="O59" i="1"/>
  <c r="O60" i="1"/>
  <c r="M61" i="1"/>
  <c r="O61" i="1"/>
  <c r="Q61" i="1"/>
  <c r="O62" i="1"/>
  <c r="M63" i="1"/>
  <c r="O63" i="1"/>
  <c r="Q63" i="1"/>
  <c r="O64" i="1"/>
  <c r="O66" i="1"/>
  <c r="O68" i="1"/>
  <c r="O69" i="1"/>
  <c r="O70" i="1"/>
  <c r="O71" i="1"/>
  <c r="M72" i="1"/>
  <c r="O72" i="1"/>
  <c r="Q72" i="1"/>
  <c r="O73" i="1"/>
  <c r="O74" i="1"/>
  <c r="O75" i="1"/>
  <c r="O76" i="1"/>
  <c r="M77" i="1"/>
  <c r="O77" i="1"/>
  <c r="Q77" i="1"/>
  <c r="O79" i="1"/>
  <c r="M80" i="1"/>
  <c r="O80" i="1"/>
  <c r="Q80" i="1"/>
  <c r="O81" i="1"/>
  <c r="O82" i="1"/>
  <c r="O83" i="1"/>
  <c r="M84" i="1"/>
  <c r="O84" i="1"/>
  <c r="Q84" i="1"/>
  <c r="O86" i="1"/>
  <c r="O87" i="1"/>
  <c r="O88" i="1"/>
  <c r="M89" i="1"/>
  <c r="O89" i="1"/>
  <c r="Q89" i="1"/>
  <c r="O91" i="1"/>
  <c r="M92" i="1"/>
  <c r="O92" i="1"/>
  <c r="Q92" i="1"/>
  <c r="O93" i="1"/>
  <c r="O94" i="1"/>
  <c r="O95" i="1"/>
  <c r="M96" i="1"/>
  <c r="O96" i="1"/>
  <c r="Q96" i="1"/>
  <c r="O98" i="1"/>
  <c r="M99" i="1"/>
  <c r="O99" i="1"/>
  <c r="Q99" i="1"/>
  <c r="O101" i="1"/>
  <c r="O102" i="1"/>
  <c r="O103" i="1"/>
  <c r="O104" i="1"/>
  <c r="O105" i="1"/>
  <c r="O106" i="1"/>
  <c r="O107" i="1"/>
  <c r="O108" i="1"/>
  <c r="O109" i="1"/>
  <c r="M110" i="1"/>
  <c r="O110" i="1"/>
  <c r="Q110" i="1"/>
  <c r="O111" i="1"/>
  <c r="O112" i="1"/>
  <c r="M114" i="1"/>
  <c r="O114" i="1"/>
  <c r="Q114" i="1"/>
  <c r="O116" i="1"/>
  <c r="M117" i="1"/>
  <c r="O117" i="1"/>
  <c r="Q117" i="1"/>
  <c r="M118" i="1"/>
  <c r="O118" i="1"/>
  <c r="Q118" i="1"/>
  <c r="M119" i="1"/>
  <c r="O119" i="1"/>
  <c r="Q119" i="1"/>
  <c r="O121" i="1"/>
  <c r="O122" i="1"/>
  <c r="O123" i="1"/>
  <c r="M124" i="1"/>
  <c r="O124" i="1"/>
  <c r="Q124" i="1"/>
  <c r="O126" i="1"/>
  <c r="M127" i="1"/>
  <c r="O127" i="1"/>
  <c r="Q127" i="1"/>
  <c r="O128" i="1"/>
  <c r="O129" i="1"/>
  <c r="O130" i="1"/>
  <c r="M131" i="1"/>
  <c r="O131" i="1"/>
  <c r="Q131" i="1"/>
  <c r="O133" i="1"/>
  <c r="M134" i="1"/>
  <c r="O134" i="1"/>
  <c r="Q134" i="1"/>
  <c r="O135" i="1"/>
  <c r="O136" i="1"/>
  <c r="O137" i="1"/>
  <c r="O138" i="1"/>
  <c r="M139" i="1"/>
  <c r="O139" i="1"/>
  <c r="Q139" i="1"/>
  <c r="O140" i="1"/>
  <c r="O141" i="1"/>
  <c r="O142" i="1"/>
  <c r="M143" i="1"/>
  <c r="O143" i="1"/>
  <c r="Q143" i="1"/>
  <c r="O144" i="1"/>
  <c r="O145" i="1"/>
  <c r="O146" i="1"/>
  <c r="O147" i="1"/>
  <c r="O148" i="1"/>
  <c r="M149" i="1"/>
  <c r="O149" i="1"/>
  <c r="Q149" i="1"/>
  <c r="O150" i="1"/>
  <c r="O151" i="1"/>
  <c r="O152" i="1"/>
  <c r="O153" i="1"/>
  <c r="O155" i="1"/>
  <c r="M156" i="1"/>
  <c r="O156" i="1"/>
  <c r="Q156" i="1"/>
  <c r="M158" i="1"/>
  <c r="O158" i="1"/>
  <c r="M159" i="1"/>
  <c r="O159" i="1"/>
  <c r="Q159" i="1"/>
  <c r="M160" i="1"/>
  <c r="O160" i="1"/>
  <c r="Q160" i="1"/>
  <c r="O162" i="1"/>
  <c r="M163" i="1"/>
  <c r="O163" i="1"/>
  <c r="Q163" i="1"/>
  <c r="O166" i="1"/>
  <c r="O167" i="1"/>
  <c r="M168" i="1"/>
  <c r="O168" i="1"/>
  <c r="Q168" i="1"/>
  <c r="M170" i="1"/>
  <c r="O170" i="1"/>
  <c r="M171" i="1"/>
  <c r="O171" i="1"/>
  <c r="Q171" i="1"/>
  <c r="M172" i="1"/>
  <c r="O172" i="1"/>
  <c r="Q172" i="1"/>
  <c r="M173" i="1"/>
  <c r="O173" i="1"/>
  <c r="Q173" i="1"/>
  <c r="M174" i="1"/>
  <c r="O174" i="1"/>
  <c r="Q174" i="1"/>
  <c r="M175" i="1"/>
  <c r="O175" i="1"/>
  <c r="Q175" i="1"/>
  <c r="M176" i="1"/>
  <c r="O176" i="1"/>
  <c r="Q176" i="1"/>
  <c r="M177" i="1"/>
  <c r="O177" i="1"/>
  <c r="Q177" i="1"/>
  <c r="M178" i="1"/>
  <c r="O178" i="1"/>
  <c r="Q178" i="1"/>
  <c r="O179" i="1"/>
  <c r="M180" i="1"/>
  <c r="O180" i="1"/>
  <c r="Q180" i="1"/>
  <c r="M181" i="1"/>
  <c r="O181" i="1"/>
  <c r="Q181" i="1"/>
  <c r="M182" i="1"/>
  <c r="O182" i="1"/>
  <c r="Q182" i="1"/>
  <c r="M183" i="1"/>
  <c r="O183" i="1"/>
  <c r="Q183" i="1"/>
  <c r="O184" i="1"/>
  <c r="M185" i="1"/>
  <c r="O185" i="1"/>
  <c r="Q185" i="1"/>
  <c r="M186" i="1"/>
  <c r="O186" i="1"/>
  <c r="M187" i="1"/>
  <c r="O187" i="1"/>
  <c r="Q187" i="1"/>
  <c r="M188" i="1"/>
  <c r="O188" i="1"/>
  <c r="Q188" i="1"/>
  <c r="M189" i="1"/>
  <c r="O189" i="1"/>
  <c r="Q189" i="1"/>
  <c r="M190" i="1"/>
  <c r="O190" i="1"/>
  <c r="Q190" i="1"/>
  <c r="M191" i="1"/>
  <c r="O191" i="1"/>
  <c r="Q191" i="1"/>
  <c r="M192" i="1"/>
  <c r="O192" i="1"/>
  <c r="Q192" i="1"/>
  <c r="M193" i="1"/>
  <c r="O193" i="1"/>
  <c r="Q193" i="1"/>
  <c r="M194" i="1"/>
  <c r="O194" i="1"/>
  <c r="Q194" i="1"/>
  <c r="M195" i="1"/>
  <c r="O195" i="1"/>
  <c r="Q195" i="1"/>
  <c r="M196" i="1"/>
  <c r="O196" i="1"/>
  <c r="Q196" i="1"/>
  <c r="M197" i="1"/>
  <c r="O197" i="1"/>
  <c r="Q197" i="1"/>
  <c r="M198" i="1"/>
  <c r="O198" i="1"/>
  <c r="Q198" i="1"/>
  <c r="M199" i="1"/>
  <c r="O199" i="1"/>
  <c r="Q199" i="1"/>
  <c r="M200" i="1"/>
  <c r="O200" i="1"/>
  <c r="Q200" i="1"/>
  <c r="M201" i="1"/>
  <c r="M202" i="1"/>
  <c r="O202" i="1"/>
  <c r="Q202" i="1"/>
  <c r="M203" i="1"/>
  <c r="O203" i="1"/>
  <c r="Q203" i="1"/>
  <c r="M204" i="1"/>
  <c r="O204" i="1"/>
  <c r="Q204" i="1"/>
  <c r="M205" i="1"/>
  <c r="O205" i="1"/>
  <c r="Q205" i="1"/>
  <c r="M206" i="1"/>
  <c r="O206" i="1"/>
  <c r="M207" i="1"/>
  <c r="O207" i="1"/>
  <c r="Q207" i="1"/>
  <c r="M208" i="1"/>
  <c r="O208" i="1"/>
  <c r="Q208" i="1"/>
  <c r="M209" i="1"/>
  <c r="Q209" i="1" s="1"/>
  <c r="Q447" i="1"/>
  <c r="M318" i="1"/>
  <c r="Q318" i="1" s="1"/>
  <c r="M321" i="1"/>
  <c r="Q321" i="1" s="1"/>
  <c r="M323" i="1"/>
  <c r="O323" i="1"/>
  <c r="Q323" i="1"/>
  <c r="M369" i="1"/>
  <c r="O369" i="1"/>
  <c r="Q369" i="1"/>
  <c r="Q370" i="1"/>
  <c r="M373" i="1"/>
  <c r="Q373" i="1" s="1"/>
  <c r="M375" i="1"/>
  <c r="Q375" i="1" s="1"/>
  <c r="M376" i="1"/>
  <c r="Q376" i="1" s="1"/>
  <c r="M380" i="1"/>
  <c r="Q380" i="1" s="1"/>
  <c r="M381" i="1"/>
  <c r="Q381" i="1" s="1"/>
  <c r="M384" i="1"/>
  <c r="Q384" i="1" s="1"/>
  <c r="M385" i="1"/>
  <c r="Q385" i="1" s="1"/>
  <c r="M387" i="1"/>
  <c r="Q387" i="1" s="1"/>
  <c r="M390" i="1"/>
  <c r="Q390" i="1" s="1"/>
  <c r="M392" i="1"/>
  <c r="Q392" i="1" s="1"/>
  <c r="M393" i="1"/>
  <c r="Q393" i="1" s="1"/>
  <c r="M397" i="1"/>
  <c r="Q397" i="1" s="1"/>
  <c r="M398" i="1"/>
  <c r="Q398" i="1" s="1"/>
  <c r="M400" i="1"/>
  <c r="Q400" i="1" s="1"/>
  <c r="O403" i="1"/>
  <c r="M408" i="1"/>
  <c r="Q408" i="1" s="1"/>
  <c r="M410" i="1"/>
  <c r="Q410" i="1" s="1"/>
  <c r="M416" i="1"/>
  <c r="Q416" i="1" s="1"/>
  <c r="O418" i="1"/>
  <c r="M423" i="1"/>
  <c r="Q423" i="1" s="1"/>
  <c r="M425" i="1"/>
  <c r="Q425" i="1" s="1"/>
  <c r="M432" i="1"/>
  <c r="Q432" i="1" s="1"/>
  <c r="M437" i="1"/>
  <c r="Q437" i="1" s="1"/>
  <c r="M440" i="1"/>
  <c r="Q440" i="1" s="1"/>
  <c r="M455" i="1"/>
  <c r="Q455" i="1" s="1"/>
  <c r="M457" i="1"/>
  <c r="Q457" i="1" s="1"/>
  <c r="M459" i="1"/>
  <c r="Q459" i="1" s="1"/>
  <c r="M460" i="1"/>
  <c r="Q460" i="1" s="1"/>
  <c r="M465" i="1"/>
  <c r="Q465" i="1" s="1"/>
  <c r="M468" i="1"/>
  <c r="Q468" i="1" s="1"/>
  <c r="M469" i="1"/>
  <c r="Q469" i="1" s="1"/>
  <c r="M470" i="1"/>
  <c r="Q470" i="1" s="1"/>
  <c r="O471" i="1"/>
  <c r="O474" i="1"/>
  <c r="O475" i="1"/>
  <c r="M476" i="1"/>
  <c r="Q476" i="1" s="1"/>
  <c r="O477" i="1"/>
  <c r="M478" i="1"/>
  <c r="Q478" i="1" s="1"/>
  <c r="O481" i="1"/>
  <c r="O482" i="1"/>
  <c r="O485" i="1"/>
  <c r="O489" i="1"/>
  <c r="O490" i="1"/>
  <c r="M491" i="1"/>
  <c r="Q491" i="1" s="1"/>
  <c r="O494" i="1"/>
  <c r="O501" i="1"/>
  <c r="O502" i="1"/>
  <c r="M503" i="1"/>
  <c r="Q503" i="1" s="1"/>
  <c r="O534" i="1"/>
  <c r="O538" i="1"/>
  <c r="M555" i="1"/>
  <c r="O603" i="1"/>
  <c r="M606" i="1"/>
  <c r="Q606" i="1" s="1"/>
  <c r="O613" i="1"/>
  <c r="O629" i="1"/>
  <c r="O640" i="1"/>
  <c r="O644" i="1"/>
  <c r="O713" i="1"/>
  <c r="O201" i="1"/>
  <c r="Q201" i="1"/>
  <c r="M374" i="1"/>
  <c r="Q374" i="1" s="1"/>
  <c r="M377" i="1"/>
  <c r="Q377" i="1" s="1"/>
  <c r="M379" i="1"/>
  <c r="Q379" i="1" s="1"/>
  <c r="M383" i="1"/>
  <c r="Q383" i="1" s="1"/>
  <c r="M391" i="1"/>
  <c r="Q391" i="1" s="1"/>
  <c r="M394" i="1"/>
  <c r="Q394" i="1" s="1"/>
  <c r="Q396" i="1"/>
  <c r="O397" i="1"/>
  <c r="M407" i="1"/>
  <c r="Q407" i="1" s="1"/>
  <c r="M411" i="1"/>
  <c r="Q411" i="1" s="1"/>
  <c r="M413" i="1"/>
  <c r="Q413" i="1" s="1"/>
  <c r="M419" i="1"/>
  <c r="Q419" i="1" s="1"/>
  <c r="M422" i="1"/>
  <c r="Q422" i="1" s="1"/>
  <c r="O428" i="1"/>
  <c r="O429" i="1"/>
  <c r="M431" i="1"/>
  <c r="Q431" i="1" s="1"/>
  <c r="O434" i="1"/>
  <c r="M436" i="1"/>
  <c r="Q436" i="1" s="1"/>
  <c r="M438" i="1"/>
  <c r="Q438" i="1" s="1"/>
  <c r="M442" i="1"/>
  <c r="Q442" i="1" s="1"/>
  <c r="O445" i="1"/>
  <c r="M449" i="1"/>
  <c r="Q449" i="1" s="1"/>
  <c r="M450" i="1"/>
  <c r="Q450" i="1" s="1"/>
  <c r="M451" i="1"/>
  <c r="Q451" i="1" s="1"/>
  <c r="M453" i="1"/>
  <c r="Q453" i="1" s="1"/>
  <c r="M462" i="1"/>
  <c r="Q462" i="1" s="1"/>
  <c r="O464" i="1"/>
  <c r="O465" i="1"/>
  <c r="O467" i="1"/>
  <c r="O472" i="1"/>
  <c r="M475" i="1"/>
  <c r="Q475" i="1" s="1"/>
  <c r="M479" i="1"/>
  <c r="Q479" i="1" s="1"/>
  <c r="M481" i="1"/>
  <c r="Q481" i="1" s="1"/>
  <c r="O483" i="1"/>
  <c r="M484" i="1"/>
  <c r="Q484" i="1" s="1"/>
  <c r="O486" i="1"/>
  <c r="M489" i="1"/>
  <c r="Q489" i="1" s="1"/>
  <c r="M493" i="1"/>
  <c r="Q493" i="1" s="1"/>
  <c r="O499" i="1"/>
  <c r="O506" i="1"/>
  <c r="O516" i="1"/>
  <c r="O524" i="1"/>
  <c r="O525" i="1"/>
  <c r="M530" i="1"/>
  <c r="Q530" i="1" s="1"/>
  <c r="O540" i="1"/>
  <c r="O595" i="1"/>
  <c r="O598" i="1"/>
  <c r="O611" i="1"/>
  <c r="O618" i="1"/>
  <c r="Q326" i="1"/>
  <c r="M378" i="1"/>
  <c r="Q378" i="1" s="1"/>
  <c r="M386" i="1"/>
  <c r="M388" i="1"/>
  <c r="Q388" i="1" s="1"/>
  <c r="M395" i="1"/>
  <c r="Q395" i="1" s="1"/>
  <c r="M401" i="1"/>
  <c r="Q401" i="1" s="1"/>
  <c r="Q402" i="1"/>
  <c r="O406" i="1"/>
  <c r="O407" i="1"/>
  <c r="O409" i="1"/>
  <c r="O410" i="1"/>
  <c r="O413" i="1"/>
  <c r="M414" i="1"/>
  <c r="Q414" i="1" s="1"/>
  <c r="M415" i="1"/>
  <c r="Q415" i="1" s="1"/>
  <c r="M418" i="1"/>
  <c r="Q418" i="1" s="1"/>
  <c r="O419" i="1"/>
  <c r="M420" i="1"/>
  <c r="Q420" i="1" s="1"/>
  <c r="M421" i="1"/>
  <c r="Q421" i="1" s="1"/>
  <c r="M426" i="1"/>
  <c r="Q426" i="1" s="1"/>
  <c r="M439" i="1"/>
  <c r="Q439" i="1" s="1"/>
  <c r="M441" i="1"/>
  <c r="Q441" i="1" s="1"/>
  <c r="M443" i="1"/>
  <c r="Q443" i="1" s="1"/>
  <c r="M445" i="1"/>
  <c r="Q445" i="1" s="1"/>
  <c r="M448" i="1"/>
  <c r="Q448" i="1" s="1"/>
  <c r="M452" i="1"/>
  <c r="Q452" i="1" s="1"/>
  <c r="O455" i="1"/>
  <c r="M456" i="1"/>
  <c r="Q456" i="1" s="1"/>
  <c r="M458" i="1"/>
  <c r="Q458" i="1" s="1"/>
  <c r="M463" i="1"/>
  <c r="Q463" i="1" s="1"/>
  <c r="O466" i="1"/>
  <c r="M467" i="1"/>
  <c r="Q467" i="1" s="1"/>
  <c r="O478" i="1"/>
  <c r="M486" i="1"/>
  <c r="Q486" i="1" s="1"/>
  <c r="O492" i="1"/>
  <c r="O495" i="1"/>
  <c r="O496" i="1"/>
  <c r="O497" i="1"/>
  <c r="O503" i="1"/>
  <c r="O522" i="1"/>
  <c r="M527" i="1"/>
  <c r="Q527" i="1" s="1"/>
  <c r="O536" i="1"/>
  <c r="M540" i="1"/>
  <c r="Q540" i="1" s="1"/>
  <c r="O549" i="1"/>
  <c r="O560" i="1"/>
  <c r="O564" i="1"/>
  <c r="O565" i="1"/>
  <c r="O578" i="1"/>
  <c r="O580" i="1"/>
  <c r="O586" i="1"/>
  <c r="O590" i="1"/>
  <c r="O594" i="1"/>
  <c r="M598" i="1"/>
  <c r="Q598" i="1" s="1"/>
  <c r="O616" i="1"/>
  <c r="O666" i="1"/>
  <c r="O770" i="1"/>
  <c r="M403" i="1"/>
  <c r="Q403" i="1" s="1"/>
  <c r="M405" i="1"/>
  <c r="M406" i="1"/>
  <c r="Q406" i="1" s="1"/>
  <c r="M409" i="1"/>
  <c r="Q409" i="1" s="1"/>
  <c r="M444" i="1"/>
  <c r="Q444" i="1" s="1"/>
  <c r="M466" i="1"/>
  <c r="Q466" i="1" s="1"/>
  <c r="M471" i="1"/>
  <c r="Q471" i="1" s="1"/>
  <c r="M472" i="1"/>
  <c r="Q472" i="1" s="1"/>
  <c r="M474" i="1"/>
  <c r="Q474" i="1" s="1"/>
  <c r="M477" i="1"/>
  <c r="Q477" i="1" s="1"/>
  <c r="M483" i="1"/>
  <c r="Q483" i="1" s="1"/>
  <c r="O487" i="1"/>
  <c r="M490" i="1"/>
  <c r="Q490" i="1" s="1"/>
  <c r="M494" i="1"/>
  <c r="Q494" i="1" s="1"/>
  <c r="M496" i="1"/>
  <c r="Q496" i="1" s="1"/>
  <c r="M499" i="1"/>
  <c r="Q499" i="1" s="1"/>
  <c r="M500" i="1"/>
  <c r="Q500" i="1" s="1"/>
  <c r="M502" i="1"/>
  <c r="Q502" i="1" s="1"/>
  <c r="M504" i="1"/>
  <c r="Q504" i="1" s="1"/>
  <c r="O505" i="1"/>
  <c r="O509" i="1"/>
  <c r="M510" i="1"/>
  <c r="Q510" i="1" s="1"/>
  <c r="M518" i="1"/>
  <c r="Q518" i="1" s="1"/>
  <c r="O535" i="1"/>
  <c r="M536" i="1"/>
  <c r="Q536" i="1" s="1"/>
  <c r="O546" i="1"/>
  <c r="O547" i="1"/>
  <c r="M550" i="1"/>
  <c r="Q550" i="1" s="1"/>
  <c r="O552" i="1"/>
  <c r="O556" i="1"/>
  <c r="O557" i="1"/>
  <c r="O558" i="1"/>
  <c r="O561" i="1"/>
  <c r="M562" i="1"/>
  <c r="Q562" i="1" s="1"/>
  <c r="O563" i="1"/>
  <c r="M565" i="1"/>
  <c r="Q565" i="1" s="1"/>
  <c r="O567" i="1"/>
  <c r="O576" i="1"/>
  <c r="O577" i="1"/>
  <c r="M578" i="1"/>
  <c r="Q578" i="1" s="1"/>
  <c r="O582" i="1"/>
  <c r="M583" i="1"/>
  <c r="Q583" i="1" s="1"/>
  <c r="O588" i="1"/>
  <c r="O589" i="1"/>
  <c r="O591" i="1"/>
  <c r="O592" i="1"/>
  <c r="M595" i="1"/>
  <c r="Q595" i="1" s="1"/>
  <c r="O604" i="1"/>
  <c r="O605" i="1"/>
  <c r="O607" i="1"/>
  <c r="O612" i="1"/>
  <c r="M613" i="1"/>
  <c r="Q613" i="1" s="1"/>
  <c r="O615" i="1"/>
  <c r="O621" i="1"/>
  <c r="O622" i="1"/>
  <c r="O623" i="1"/>
  <c r="O631" i="1"/>
  <c r="O639" i="1"/>
  <c r="M644" i="1"/>
  <c r="Q644" i="1" s="1"/>
  <c r="O739" i="1"/>
  <c r="M740" i="1"/>
  <c r="Q740" i="1" s="1"/>
  <c r="O756" i="1"/>
  <c r="O759" i="1"/>
  <c r="M770" i="1"/>
  <c r="Q770" i="1" s="1"/>
  <c r="M214" i="1"/>
  <c r="O214" i="1"/>
  <c r="M427" i="1"/>
  <c r="Q427" i="1" s="1"/>
  <c r="M428" i="1"/>
  <c r="Q428" i="1" s="1"/>
  <c r="M429" i="1"/>
  <c r="Q429" i="1" s="1"/>
  <c r="M434" i="1"/>
  <c r="Q434" i="1" s="1"/>
  <c r="M446" i="1"/>
  <c r="O446" i="1"/>
  <c r="Q446" i="1"/>
  <c r="M464" i="1"/>
  <c r="Q464" i="1" s="1"/>
  <c r="M473" i="1"/>
  <c r="O473" i="1"/>
  <c r="Q473" i="1"/>
  <c r="M480" i="1"/>
  <c r="Q480" i="1" s="1"/>
  <c r="M487" i="1"/>
  <c r="Q487" i="1" s="1"/>
  <c r="M495" i="1"/>
  <c r="Q495" i="1" s="1"/>
  <c r="M498" i="1"/>
  <c r="Q498" i="1" s="1"/>
  <c r="M501" i="1"/>
  <c r="Q501" i="1" s="1"/>
  <c r="O504" i="1"/>
  <c r="M505" i="1"/>
  <c r="Q505" i="1" s="1"/>
  <c r="O512" i="1"/>
  <c r="O517" i="1"/>
  <c r="O518" i="1"/>
  <c r="O521" i="1"/>
  <c r="M525" i="1"/>
  <c r="Q525" i="1" s="1"/>
  <c r="O528" i="1"/>
  <c r="O532" i="1"/>
  <c r="O533" i="1"/>
  <c r="O554" i="1"/>
  <c r="O584" i="1"/>
  <c r="O585" i="1"/>
  <c r="O596" i="1"/>
  <c r="O600" i="1"/>
  <c r="O601" i="1"/>
  <c r="O602" i="1"/>
  <c r="O609" i="1"/>
  <c r="O610" i="1"/>
  <c r="O617" i="1"/>
  <c r="M618" i="1"/>
  <c r="O619" i="1"/>
  <c r="O627" i="1"/>
  <c r="O630" i="1"/>
  <c r="O665" i="1"/>
  <c r="O743" i="1"/>
  <c r="O755" i="1"/>
  <c r="M758" i="1"/>
  <c r="Q758" i="1" s="1"/>
  <c r="M776" i="1"/>
  <c r="Q776" i="1" s="1"/>
  <c r="O787" i="1"/>
  <c r="O791" i="1"/>
  <c r="O480" i="1"/>
  <c r="M482" i="1"/>
  <c r="Q482" i="1" s="1"/>
  <c r="M485" i="1"/>
  <c r="Q485" i="1" s="1"/>
  <c r="M488" i="1"/>
  <c r="Q488" i="1" s="1"/>
  <c r="M492" i="1"/>
  <c r="Q492" i="1" s="1"/>
  <c r="M497" i="1"/>
  <c r="Q497" i="1" s="1"/>
  <c r="O500" i="1"/>
  <c r="M506" i="1"/>
  <c r="Q506" i="1" s="1"/>
  <c r="O510" i="1"/>
  <c r="O511" i="1"/>
  <c r="O514" i="1"/>
  <c r="O515" i="1"/>
  <c r="O523" i="1"/>
  <c r="O529" i="1"/>
  <c r="O539" i="1"/>
  <c r="O543" i="1"/>
  <c r="O544" i="1"/>
  <c r="O548" i="1"/>
  <c r="O551" i="1"/>
  <c r="O559" i="1"/>
  <c r="O562" i="1"/>
  <c r="O566" i="1"/>
  <c r="O569" i="1"/>
  <c r="O571" i="1"/>
  <c r="O572" i="1"/>
  <c r="O573" i="1"/>
  <c r="O574" i="1"/>
  <c r="O583" i="1"/>
  <c r="O587" i="1"/>
  <c r="M588" i="1"/>
  <c r="Q588" i="1" s="1"/>
  <c r="O593" i="1"/>
  <c r="O597" i="1"/>
  <c r="O614" i="1"/>
  <c r="O628" i="1"/>
  <c r="O645" i="1"/>
  <c r="O758" i="1"/>
  <c r="M763" i="1"/>
  <c r="Q763" i="1" s="1"/>
  <c r="O776" i="1"/>
  <c r="O508" i="1"/>
  <c r="M513" i="1"/>
  <c r="Q513" i="1" s="1"/>
  <c r="M517" i="1"/>
  <c r="Q517" i="1" s="1"/>
  <c r="M519" i="1"/>
  <c r="Q519" i="1" s="1"/>
  <c r="O520" i="1"/>
  <c r="O526" i="1"/>
  <c r="O531" i="1"/>
  <c r="M532" i="1"/>
  <c r="Q532" i="1" s="1"/>
  <c r="M533" i="1"/>
  <c r="Q533" i="1" s="1"/>
  <c r="M537" i="1"/>
  <c r="Q537" i="1" s="1"/>
  <c r="M547" i="1"/>
  <c r="Q547" i="1" s="1"/>
  <c r="M549" i="1"/>
  <c r="Q549" i="1" s="1"/>
  <c r="M554" i="1"/>
  <c r="Q554" i="1" s="1"/>
  <c r="M556" i="1"/>
  <c r="Q556" i="1" s="1"/>
  <c r="M558" i="1"/>
  <c r="Q558" i="1" s="1"/>
  <c r="M561" i="1"/>
  <c r="Q561" i="1" s="1"/>
  <c r="M570" i="1"/>
  <c r="Q570" i="1" s="1"/>
  <c r="M572" i="1"/>
  <c r="Q572" i="1" s="1"/>
  <c r="M574" i="1"/>
  <c r="Q574" i="1" s="1"/>
  <c r="M576" i="1"/>
  <c r="Q576" i="1" s="1"/>
  <c r="M577" i="1"/>
  <c r="Q577" i="1" s="1"/>
  <c r="M587" i="1"/>
  <c r="Q587" i="1" s="1"/>
  <c r="M592" i="1"/>
  <c r="Q592" i="1" s="1"/>
  <c r="M593" i="1"/>
  <c r="Q593" i="1" s="1"/>
  <c r="O599" i="1"/>
  <c r="M602" i="1"/>
  <c r="Q602" i="1" s="1"/>
  <c r="M604" i="1"/>
  <c r="Q604" i="1" s="1"/>
  <c r="M605" i="1"/>
  <c r="Q605" i="1" s="1"/>
  <c r="M612" i="1"/>
  <c r="Q612" i="1" s="1"/>
  <c r="M622" i="1"/>
  <c r="Q622" i="1" s="1"/>
  <c r="M625" i="1"/>
  <c r="Q625" i="1" s="1"/>
  <c r="M628" i="1"/>
  <c r="Q628" i="1" s="1"/>
  <c r="O633" i="1"/>
  <c r="O641" i="1"/>
  <c r="O664" i="1"/>
  <c r="M665" i="1"/>
  <c r="Q665" i="1" s="1"/>
  <c r="O672" i="1"/>
  <c r="O673" i="1"/>
  <c r="O709" i="1"/>
  <c r="O738" i="1"/>
  <c r="O744" i="1"/>
  <c r="O748" i="1"/>
  <c r="M757" i="1"/>
  <c r="Q757" i="1" s="1"/>
  <c r="O761" i="1"/>
  <c r="O764" i="1"/>
  <c r="M779" i="1"/>
  <c r="Q779" i="1" s="1"/>
  <c r="O779" i="1"/>
  <c r="O780" i="1"/>
  <c r="M507" i="1"/>
  <c r="Q507" i="1" s="1"/>
  <c r="M508" i="1"/>
  <c r="Q508" i="1" s="1"/>
  <c r="M512" i="1"/>
  <c r="Q512" i="1" s="1"/>
  <c r="O513" i="1"/>
  <c r="M516" i="1"/>
  <c r="Q516" i="1" s="1"/>
  <c r="M521" i="1"/>
  <c r="Q521" i="1" s="1"/>
  <c r="M523" i="1"/>
  <c r="Q523" i="1" s="1"/>
  <c r="M526" i="1"/>
  <c r="Q526" i="1" s="1"/>
  <c r="M529" i="1"/>
  <c r="Q529" i="1" s="1"/>
  <c r="M534" i="1"/>
  <c r="Q534" i="1" s="1"/>
  <c r="O537" i="1"/>
  <c r="M538" i="1"/>
  <c r="Q538" i="1" s="1"/>
  <c r="M539" i="1"/>
  <c r="Q539" i="1" s="1"/>
  <c r="M541" i="1"/>
  <c r="Q541" i="1" s="1"/>
  <c r="M552" i="1"/>
  <c r="Q552" i="1" s="1"/>
  <c r="M557" i="1"/>
  <c r="Q557" i="1" s="1"/>
  <c r="M563" i="1"/>
  <c r="Q563" i="1" s="1"/>
  <c r="M564" i="1"/>
  <c r="Q564" i="1" s="1"/>
  <c r="M567" i="1"/>
  <c r="Q567" i="1" s="1"/>
  <c r="M568" i="1"/>
  <c r="Q568" i="1" s="1"/>
  <c r="O568" i="1"/>
  <c r="M569" i="1"/>
  <c r="Q569" i="1" s="1"/>
  <c r="O570" i="1"/>
  <c r="M575" i="1"/>
  <c r="Q575" i="1" s="1"/>
  <c r="M579" i="1"/>
  <c r="Q579" i="1" s="1"/>
  <c r="O581" i="1"/>
  <c r="M582" i="1"/>
  <c r="Q582" i="1" s="1"/>
  <c r="M584" i="1"/>
  <c r="Q584" i="1" s="1"/>
  <c r="M589" i="1"/>
  <c r="Q589" i="1" s="1"/>
  <c r="M591" i="1"/>
  <c r="Q591" i="1" s="1"/>
  <c r="M594" i="1"/>
  <c r="Q594" i="1" s="1"/>
  <c r="M597" i="1"/>
  <c r="Q597" i="1" s="1"/>
  <c r="M599" i="1"/>
  <c r="Q599" i="1" s="1"/>
  <c r="M603" i="1"/>
  <c r="Q603" i="1" s="1"/>
  <c r="M607" i="1"/>
  <c r="Q607" i="1" s="1"/>
  <c r="M614" i="1"/>
  <c r="Q614" i="1" s="1"/>
  <c r="M619" i="1"/>
  <c r="Q619" i="1" s="1"/>
  <c r="M627" i="1"/>
  <c r="Q627" i="1" s="1"/>
  <c r="M629" i="1"/>
  <c r="Q629" i="1" s="1"/>
  <c r="O632" i="1"/>
  <c r="M633" i="1"/>
  <c r="Q633" i="1"/>
  <c r="O638" i="1"/>
  <c r="M639" i="1"/>
  <c r="Q639" i="1" s="1"/>
  <c r="O654" i="1"/>
  <c r="O655" i="1"/>
  <c r="O656" i="1"/>
  <c r="O659" i="1"/>
  <c r="O667" i="1"/>
  <c r="O692" i="1"/>
  <c r="O742" i="1"/>
  <c r="M743" i="1"/>
  <c r="Q743" i="1" s="1"/>
  <c r="M756" i="1"/>
  <c r="Q756" i="1" s="1"/>
  <c r="O760" i="1"/>
  <c r="O766" i="1"/>
  <c r="O767" i="1"/>
  <c r="M777" i="1"/>
  <c r="O798" i="1"/>
  <c r="O507" i="1"/>
  <c r="M509" i="1"/>
  <c r="Q509" i="1" s="1"/>
  <c r="M511" i="1"/>
  <c r="Q511" i="1" s="1"/>
  <c r="M514" i="1"/>
  <c r="Q514" i="1" s="1"/>
  <c r="M515" i="1"/>
  <c r="Q515" i="1" s="1"/>
  <c r="O519" i="1"/>
  <c r="M520" i="1"/>
  <c r="Q520" i="1" s="1"/>
  <c r="M522" i="1"/>
  <c r="Q522" i="1" s="1"/>
  <c r="M524" i="1"/>
  <c r="Q524" i="1" s="1"/>
  <c r="M528" i="1"/>
  <c r="Q528" i="1" s="1"/>
  <c r="M531" i="1"/>
  <c r="Q531" i="1" s="1"/>
  <c r="M535" i="1"/>
  <c r="Q535" i="1" s="1"/>
  <c r="O541" i="1"/>
  <c r="M542" i="1"/>
  <c r="Q542" i="1" s="1"/>
  <c r="O542" i="1"/>
  <c r="M543" i="1"/>
  <c r="Q543" i="1" s="1"/>
  <c r="M544" i="1"/>
  <c r="Q544" i="1" s="1"/>
  <c r="M545" i="1"/>
  <c r="Q545" i="1" s="1"/>
  <c r="M546" i="1"/>
  <c r="Q546" i="1" s="1"/>
  <c r="M548" i="1"/>
  <c r="Q548" i="1" s="1"/>
  <c r="M551" i="1"/>
  <c r="Q551" i="1" s="1"/>
  <c r="M553" i="1"/>
  <c r="Q553" i="1" s="1"/>
  <c r="M559" i="1"/>
  <c r="Q559" i="1" s="1"/>
  <c r="M560" i="1"/>
  <c r="Q560" i="1" s="1"/>
  <c r="M566" i="1"/>
  <c r="Q566" i="1" s="1"/>
  <c r="M571" i="1"/>
  <c r="Q571" i="1" s="1"/>
  <c r="M573" i="1"/>
  <c r="Q573" i="1" s="1"/>
  <c r="O579" i="1"/>
  <c r="M580" i="1"/>
  <c r="Q580" i="1" s="1"/>
  <c r="M581" i="1"/>
  <c r="Q581" i="1" s="1"/>
  <c r="M585" i="1"/>
  <c r="Q585" i="1" s="1"/>
  <c r="M586" i="1"/>
  <c r="Q586" i="1" s="1"/>
  <c r="M590" i="1"/>
  <c r="Q590" i="1" s="1"/>
  <c r="M596" i="1"/>
  <c r="Q596" i="1" s="1"/>
  <c r="M600" i="1"/>
  <c r="Q600" i="1" s="1"/>
  <c r="M601" i="1"/>
  <c r="Q601" i="1" s="1"/>
  <c r="M608" i="1"/>
  <c r="Q608" i="1" s="1"/>
  <c r="O608" i="1"/>
  <c r="M609" i="1"/>
  <c r="Q609" i="1" s="1"/>
  <c r="M610" i="1"/>
  <c r="Q610" i="1" s="1"/>
  <c r="M611" i="1"/>
  <c r="Q611" i="1" s="1"/>
  <c r="M615" i="1"/>
  <c r="Q615" i="1" s="1"/>
  <c r="M616" i="1"/>
  <c r="Q616" i="1" s="1"/>
  <c r="M617" i="1"/>
  <c r="Q617" i="1" s="1"/>
  <c r="M620" i="1"/>
  <c r="Q620" i="1" s="1"/>
  <c r="O620" i="1"/>
  <c r="M621" i="1"/>
  <c r="Q621" i="1" s="1"/>
  <c r="M623" i="1"/>
  <c r="Q623" i="1" s="1"/>
  <c r="O625" i="1"/>
  <c r="M626" i="1"/>
  <c r="Q626" i="1" s="1"/>
  <c r="O626" i="1"/>
  <c r="M630" i="1"/>
  <c r="Q630" i="1" s="1"/>
  <c r="M632" i="1"/>
  <c r="O714" i="1"/>
  <c r="O721" i="1"/>
  <c r="O751" i="1"/>
  <c r="O757" i="1"/>
  <c r="O771" i="1"/>
  <c r="O777" i="1"/>
  <c r="O783" i="1"/>
  <c r="O799" i="1"/>
  <c r="Q632" i="1"/>
  <c r="O634" i="1"/>
  <c r="O635" i="1"/>
  <c r="O637" i="1"/>
  <c r="M643" i="1"/>
  <c r="Q643" i="1" s="1"/>
  <c r="O647" i="1"/>
  <c r="O649" i="1"/>
  <c r="O650" i="1"/>
  <c r="O652" i="1"/>
  <c r="M656" i="1"/>
  <c r="Q656" i="1" s="1"/>
  <c r="M658" i="1"/>
  <c r="Q658" i="1" s="1"/>
  <c r="O658" i="1"/>
  <c r="O661" i="1"/>
  <c r="O663" i="1"/>
  <c r="O668" i="1"/>
  <c r="O670" i="1"/>
  <c r="M672" i="1"/>
  <c r="Q672" i="1" s="1"/>
  <c r="O675" i="1"/>
  <c r="O677" i="1"/>
  <c r="O679" i="1"/>
  <c r="O681" i="1"/>
  <c r="O682" i="1"/>
  <c r="O684" i="1"/>
  <c r="O686" i="1"/>
  <c r="O688" i="1"/>
  <c r="O690" i="1"/>
  <c r="O694" i="1"/>
  <c r="O697" i="1"/>
  <c r="O700" i="1"/>
  <c r="O702" i="1"/>
  <c r="O704" i="1"/>
  <c r="O706" i="1"/>
  <c r="O708" i="1"/>
  <c r="O710" i="1"/>
  <c r="O712" i="1"/>
  <c r="O715" i="1"/>
  <c r="O717" i="1"/>
  <c r="O719" i="1"/>
  <c r="M721" i="1"/>
  <c r="Q721" i="1" s="1"/>
  <c r="O724" i="1"/>
  <c r="O726" i="1"/>
  <c r="O728" i="1"/>
  <c r="O730" i="1"/>
  <c r="O731" i="1"/>
  <c r="O733" i="1"/>
  <c r="O734" i="1"/>
  <c r="O736" i="1"/>
  <c r="M738" i="1"/>
  <c r="Q738" i="1" s="1"/>
  <c r="O745" i="1"/>
  <c r="O747" i="1"/>
  <c r="O749" i="1"/>
  <c r="O750" i="1"/>
  <c r="O752" i="1"/>
  <c r="O754" i="1"/>
  <c r="M760" i="1"/>
  <c r="Q760" i="1" s="1"/>
  <c r="M762" i="1"/>
  <c r="Q762" i="1" s="1"/>
  <c r="M767" i="1"/>
  <c r="Q767" i="1" s="1"/>
  <c r="O768" i="1"/>
  <c r="O773" i="1"/>
  <c r="O775" i="1"/>
  <c r="M783" i="1"/>
  <c r="Q783" i="1" s="1"/>
  <c r="O785" i="1"/>
  <c r="M787" i="1"/>
  <c r="Q787" i="1" s="1"/>
  <c r="O790" i="1"/>
  <c r="O792" i="1"/>
  <c r="M794" i="1"/>
  <c r="Q794" i="1" s="1"/>
  <c r="O796" i="1"/>
  <c r="O800" i="1"/>
  <c r="M4" i="1"/>
  <c r="Q4" i="1" s="1"/>
  <c r="M9" i="1"/>
  <c r="Q9" i="1" s="1"/>
  <c r="M10" i="1"/>
  <c r="Q10" i="1" s="1"/>
  <c r="M11" i="1"/>
  <c r="Q11" i="1" s="1"/>
  <c r="M16" i="1"/>
  <c r="Q16" i="1" s="1"/>
  <c r="M19" i="1"/>
  <c r="Q19" i="1" s="1"/>
  <c r="M25" i="1"/>
  <c r="Q25" i="1" s="1"/>
  <c r="M29" i="1"/>
  <c r="Q29" i="1" s="1"/>
  <c r="M34" i="1"/>
  <c r="Q34" i="1" s="1"/>
  <c r="M40" i="1"/>
  <c r="Q40" i="1" s="1"/>
  <c r="M43" i="1"/>
  <c r="Q43" i="1" s="1"/>
  <c r="M44" i="1"/>
  <c r="Q44" i="1" s="1"/>
  <c r="M49" i="1"/>
  <c r="Q49" i="1" s="1"/>
  <c r="M52" i="1"/>
  <c r="Q52" i="1" s="1"/>
  <c r="M57" i="1"/>
  <c r="Q57" i="1" s="1"/>
  <c r="M62" i="1"/>
  <c r="Q62" i="1" s="1"/>
  <c r="O67" i="1"/>
  <c r="M68" i="1"/>
  <c r="Q68" i="1" s="1"/>
  <c r="M69" i="1"/>
  <c r="Q69" i="1" s="1"/>
  <c r="M71" i="1"/>
  <c r="Q71" i="1" s="1"/>
  <c r="M74" i="1"/>
  <c r="Q74" i="1" s="1"/>
  <c r="M79" i="1"/>
  <c r="Q79" i="1" s="1"/>
  <c r="O85" i="1"/>
  <c r="M86" i="1"/>
  <c r="Q86" i="1" s="1"/>
  <c r="M88" i="1"/>
  <c r="Q88" i="1" s="1"/>
  <c r="O90" i="1"/>
  <c r="M91" i="1"/>
  <c r="Q91" i="1" s="1"/>
  <c r="M93" i="1"/>
  <c r="Q93" i="1" s="1"/>
  <c r="M97" i="1"/>
  <c r="Q97" i="1" s="1"/>
  <c r="O100" i="1"/>
  <c r="M104" i="1"/>
  <c r="Q104" i="1" s="1"/>
  <c r="M107" i="1"/>
  <c r="Q107" i="1" s="1"/>
  <c r="M111" i="1"/>
  <c r="Q111" i="1" s="1"/>
  <c r="O113" i="1"/>
  <c r="O115" i="1"/>
  <c r="M116" i="1"/>
  <c r="Q116" i="1" s="1"/>
  <c r="O120" i="1"/>
  <c r="M121" i="1"/>
  <c r="Q121" i="1" s="1"/>
  <c r="M122" i="1"/>
  <c r="Q122" i="1" s="1"/>
  <c r="M123" i="1"/>
  <c r="Q123" i="1" s="1"/>
  <c r="M128" i="1"/>
  <c r="Q128" i="1" s="1"/>
  <c r="M130" i="1"/>
  <c r="Q130" i="1" s="1"/>
  <c r="M135" i="1"/>
  <c r="Q135" i="1" s="1"/>
  <c r="M137" i="1"/>
  <c r="Q137" i="1" s="1"/>
  <c r="M145" i="1"/>
  <c r="Q145" i="1" s="1"/>
  <c r="M147" i="1"/>
  <c r="Q147" i="1" s="1"/>
  <c r="M148" i="1"/>
  <c r="Q148" i="1" s="1"/>
  <c r="M154" i="1"/>
  <c r="Q154" i="1"/>
  <c r="M155" i="1"/>
  <c r="Q155" i="1" s="1"/>
  <c r="O157" i="1"/>
  <c r="O161" i="1"/>
  <c r="M166" i="1"/>
  <c r="Q166" i="1" s="1"/>
  <c r="O169" i="1"/>
  <c r="Q372" i="1"/>
  <c r="O636" i="1"/>
  <c r="M638" i="1"/>
  <c r="Q638" i="1" s="1"/>
  <c r="O642" i="1"/>
  <c r="O646" i="1"/>
  <c r="O648" i="1"/>
  <c r="O651" i="1"/>
  <c r="O653" i="1"/>
  <c r="M654" i="1"/>
  <c r="Q654" i="1" s="1"/>
  <c r="O657" i="1"/>
  <c r="O660" i="1"/>
  <c r="O662" i="1"/>
  <c r="M664" i="1"/>
  <c r="Q664" i="1" s="1"/>
  <c r="O669" i="1"/>
  <c r="O671" i="1"/>
  <c r="O674" i="1"/>
  <c r="O676" i="1"/>
  <c r="O678" i="1"/>
  <c r="O680" i="1"/>
  <c r="O683" i="1"/>
  <c r="O685" i="1"/>
  <c r="O687" i="1"/>
  <c r="O689" i="1"/>
  <c r="O691" i="1"/>
  <c r="M692" i="1"/>
  <c r="Q692" i="1" s="1"/>
  <c r="O695" i="1"/>
  <c r="O696" i="1"/>
  <c r="O698" i="1"/>
  <c r="O699" i="1"/>
  <c r="O701" i="1"/>
  <c r="O703" i="1"/>
  <c r="O705" i="1"/>
  <c r="O707" i="1"/>
  <c r="M709" i="1"/>
  <c r="Q709" i="1" s="1"/>
  <c r="O711" i="1"/>
  <c r="M713" i="1"/>
  <c r="Q713" i="1" s="1"/>
  <c r="O716" i="1"/>
  <c r="O718" i="1"/>
  <c r="O720" i="1"/>
  <c r="O722" i="1"/>
  <c r="O723" i="1"/>
  <c r="O725" i="1"/>
  <c r="O727" i="1"/>
  <c r="O729" i="1"/>
  <c r="O732" i="1"/>
  <c r="O735" i="1"/>
  <c r="O737" i="1"/>
  <c r="M739" i="1"/>
  <c r="Q739" i="1" s="1"/>
  <c r="M742" i="1"/>
  <c r="Q742" i="1" s="1"/>
  <c r="O746" i="1"/>
  <c r="M748" i="1"/>
  <c r="Q748" i="1" s="1"/>
  <c r="O753" i="1"/>
  <c r="M755" i="1"/>
  <c r="Q755" i="1" s="1"/>
  <c r="M761" i="1"/>
  <c r="Q761" i="1" s="1"/>
  <c r="O765" i="1"/>
  <c r="M766" i="1"/>
  <c r="Q766" i="1" s="1"/>
  <c r="O769" i="1"/>
  <c r="O772" i="1"/>
  <c r="O774" i="1"/>
  <c r="O781" i="1"/>
  <c r="O782" i="1"/>
  <c r="O784" i="1"/>
  <c r="O786" i="1"/>
  <c r="O788" i="1"/>
  <c r="O789" i="1"/>
  <c r="O793" i="1"/>
  <c r="O794" i="1"/>
  <c r="O797" i="1"/>
  <c r="O801" i="1"/>
  <c r="O9" i="1"/>
  <c r="M15" i="1"/>
  <c r="Q15" i="1" s="1"/>
  <c r="O19" i="1"/>
  <c r="M21" i="1"/>
  <c r="Q21" i="1" s="1"/>
  <c r="M22" i="1"/>
  <c r="Q22" i="1" s="1"/>
  <c r="M26" i="1"/>
  <c r="Q26" i="1" s="1"/>
  <c r="M30" i="1"/>
  <c r="Q30" i="1" s="1"/>
  <c r="M31" i="1"/>
  <c r="Q31" i="1" s="1"/>
  <c r="M35" i="1"/>
  <c r="Q35" i="1" s="1"/>
  <c r="M38" i="1"/>
  <c r="Q38" i="1" s="1"/>
  <c r="M41" i="1"/>
  <c r="Q41" i="1" s="1"/>
  <c r="O49" i="1"/>
  <c r="M50" i="1"/>
  <c r="Q50" i="1" s="1"/>
  <c r="M64" i="1"/>
  <c r="Q64" i="1" s="1"/>
  <c r="M78" i="1"/>
  <c r="Q78" i="1" s="1"/>
  <c r="M81" i="1"/>
  <c r="Q81" i="1" s="1"/>
  <c r="M83" i="1"/>
  <c r="Q83" i="1" s="1"/>
  <c r="M85" i="1"/>
  <c r="Q85" i="1" s="1"/>
  <c r="M87" i="1"/>
  <c r="Q87" i="1" s="1"/>
  <c r="M90" i="1"/>
  <c r="Q90" i="1" s="1"/>
  <c r="O97" i="1"/>
  <c r="M100" i="1"/>
  <c r="Q100" i="1" s="1"/>
  <c r="M103" i="1"/>
  <c r="Q103" i="1" s="1"/>
  <c r="M105" i="1"/>
  <c r="Q105" i="1" s="1"/>
  <c r="M106" i="1"/>
  <c r="Q106" i="1" s="1"/>
  <c r="M109" i="1"/>
  <c r="Q109" i="1" s="1"/>
  <c r="M113" i="1"/>
  <c r="Q113" i="1" s="1"/>
  <c r="M115" i="1"/>
  <c r="Q115" i="1" s="1"/>
  <c r="O125" i="1"/>
  <c r="M126" i="1"/>
  <c r="Q126" i="1" s="1"/>
  <c r="M132" i="1"/>
  <c r="Q132" i="1" s="1"/>
  <c r="M136" i="1"/>
  <c r="Q136" i="1" s="1"/>
  <c r="M138" i="1"/>
  <c r="Q138" i="1" s="1"/>
  <c r="M140" i="1"/>
  <c r="Q140" i="1" s="1"/>
  <c r="M142" i="1"/>
  <c r="Q142" i="1" s="1"/>
  <c r="M151" i="1"/>
  <c r="Q151" i="1" s="1"/>
  <c r="M152" i="1"/>
  <c r="Q152" i="1" s="1"/>
  <c r="O154" i="1"/>
  <c r="M161" i="1"/>
  <c r="Q161" i="1" s="1"/>
  <c r="O164" i="1"/>
  <c r="M165" i="1"/>
  <c r="Q165" i="1" s="1"/>
  <c r="M169" i="1"/>
  <c r="Q169" i="1"/>
  <c r="M179" i="1"/>
  <c r="Q179" i="1" s="1"/>
  <c r="M184" i="1"/>
  <c r="Q184" i="1" s="1"/>
  <c r="O555" i="1"/>
  <c r="O795" i="1"/>
  <c r="M799" i="1"/>
  <c r="Q799" i="1" s="1"/>
  <c r="M801" i="1"/>
  <c r="Q801" i="1" s="1"/>
  <c r="M12" i="1"/>
  <c r="Q12" i="1" s="1"/>
  <c r="M14" i="1"/>
  <c r="Q14" i="1" s="1"/>
  <c r="M23" i="1"/>
  <c r="Q23" i="1" s="1"/>
  <c r="O25" i="1"/>
  <c r="M27" i="1"/>
  <c r="Q27" i="1" s="1"/>
  <c r="O29" i="1"/>
  <c r="M32" i="1"/>
  <c r="Q32" i="1" s="1"/>
  <c r="M33" i="1"/>
  <c r="Q33" i="1" s="1"/>
  <c r="M36" i="1"/>
  <c r="Q36" i="1" s="1"/>
  <c r="M37" i="1"/>
  <c r="Q37" i="1" s="1"/>
  <c r="M42" i="1"/>
  <c r="Q42" i="1" s="1"/>
  <c r="M45" i="1"/>
  <c r="Q45" i="1" s="1"/>
  <c r="M47" i="1"/>
  <c r="Q47" i="1" s="1"/>
  <c r="O52" i="1"/>
  <c r="M53" i="1"/>
  <c r="Q53" i="1" s="1"/>
  <c r="O53" i="1"/>
  <c r="M54" i="1"/>
  <c r="Q54" i="1" s="1"/>
  <c r="O57" i="1"/>
  <c r="M58" i="1"/>
  <c r="Q58" i="1" s="1"/>
  <c r="M59" i="1"/>
  <c r="Q59" i="1" s="1"/>
  <c r="M60" i="1"/>
  <c r="Q60" i="1" s="1"/>
  <c r="M65" i="1"/>
  <c r="Q65" i="1" s="1"/>
  <c r="O65" i="1"/>
  <c r="M66" i="1"/>
  <c r="Q66" i="1" s="1"/>
  <c r="M67" i="1"/>
  <c r="Q67" i="1" s="1"/>
  <c r="M70" i="1"/>
  <c r="Q70" i="1" s="1"/>
  <c r="M73" i="1"/>
  <c r="Q73" i="1" s="1"/>
  <c r="M75" i="1"/>
  <c r="Q75" i="1" s="1"/>
  <c r="M76" i="1"/>
  <c r="Q76" i="1" s="1"/>
  <c r="O78" i="1"/>
  <c r="M82" i="1"/>
  <c r="Q82" i="1" s="1"/>
  <c r="M94" i="1"/>
  <c r="Q94" i="1" s="1"/>
  <c r="M95" i="1"/>
  <c r="Q95" i="1" s="1"/>
  <c r="M98" i="1"/>
  <c r="Q98" i="1" s="1"/>
  <c r="M101" i="1"/>
  <c r="Q101" i="1" s="1"/>
  <c r="M102" i="1"/>
  <c r="Q102" i="1" s="1"/>
  <c r="M108" i="1"/>
  <c r="Q108" i="1" s="1"/>
  <c r="M112" i="1"/>
  <c r="Q112" i="1" s="1"/>
  <c r="M120" i="1"/>
  <c r="Q120" i="1" s="1"/>
  <c r="M125" i="1"/>
  <c r="Q125" i="1" s="1"/>
  <c r="M129" i="1"/>
  <c r="Q129" i="1" s="1"/>
  <c r="O132" i="1"/>
  <c r="M133" i="1"/>
  <c r="Q133" i="1" s="1"/>
  <c r="M141" i="1"/>
  <c r="Q141" i="1" s="1"/>
  <c r="M144" i="1"/>
  <c r="Q144" i="1" s="1"/>
  <c r="M146" i="1"/>
  <c r="Q146" i="1" s="1"/>
  <c r="M150" i="1"/>
  <c r="Q150" i="1" s="1"/>
  <c r="M153" i="1"/>
  <c r="Q153" i="1" s="1"/>
  <c r="M157" i="1"/>
  <c r="Q157" i="1" s="1"/>
  <c r="M162" i="1"/>
  <c r="Q162" i="1" s="1"/>
  <c r="M164" i="1"/>
  <c r="Q164" i="1"/>
  <c r="O165" i="1"/>
  <c r="M167" i="1"/>
  <c r="Q167" i="1" s="1"/>
  <c r="J7" i="1"/>
  <c r="N7" i="1"/>
  <c r="P7" i="1" s="1"/>
  <c r="J13" i="1"/>
  <c r="J17" i="1"/>
  <c r="J18" i="1"/>
  <c r="J24" i="1"/>
  <c r="N24" i="1"/>
  <c r="P24" i="1" s="1"/>
  <c r="J28" i="1"/>
  <c r="J39" i="1"/>
  <c r="J46" i="1"/>
  <c r="J48" i="1"/>
  <c r="J51" i="1"/>
  <c r="J55" i="1"/>
  <c r="J56" i="1"/>
  <c r="J61" i="1"/>
  <c r="J63" i="1"/>
  <c r="J70" i="1"/>
  <c r="J72" i="1"/>
  <c r="J73" i="1"/>
  <c r="J75" i="1"/>
  <c r="J76" i="1"/>
  <c r="J77" i="1"/>
  <c r="J80" i="1"/>
  <c r="N80" i="1"/>
  <c r="P80" i="1" s="1"/>
  <c r="J82" i="1"/>
  <c r="N82" i="1"/>
  <c r="P82" i="1" s="1"/>
  <c r="J84" i="1"/>
  <c r="N84" i="1"/>
  <c r="P84" i="1" s="1"/>
  <c r="J89" i="1"/>
  <c r="N89" i="1"/>
  <c r="P89" i="1" s="1"/>
  <c r="J92" i="1"/>
  <c r="N92" i="1"/>
  <c r="P92" i="1" s="1"/>
  <c r="J96" i="1"/>
  <c r="N96" i="1"/>
  <c r="P96" i="1" s="1"/>
  <c r="J99" i="1"/>
  <c r="N99" i="1"/>
  <c r="P99" i="1" s="1"/>
  <c r="J110" i="1"/>
  <c r="N110" i="1"/>
  <c r="P110" i="1" s="1"/>
  <c r="J389" i="1"/>
  <c r="N389" i="1"/>
  <c r="P389" i="1" s="1"/>
  <c r="J399" i="1"/>
  <c r="N399" i="1"/>
  <c r="P399" i="1" s="1"/>
  <c r="J404" i="1"/>
  <c r="N404" i="1"/>
  <c r="P404" i="1" s="1"/>
  <c r="M636" i="1"/>
  <c r="Q636" i="1" s="1"/>
  <c r="M637" i="1"/>
  <c r="Q637" i="1" s="1"/>
  <c r="J637" i="1" s="1"/>
  <c r="M641" i="1"/>
  <c r="Q641" i="1" s="1"/>
  <c r="M642" i="1"/>
  <c r="Q642" i="1" s="1"/>
  <c r="J642" i="1" s="1"/>
  <c r="M645" i="1"/>
  <c r="Q645" i="1" s="1"/>
  <c r="M646" i="1"/>
  <c r="Q646" i="1" s="1"/>
  <c r="J646" i="1" s="1"/>
  <c r="M649" i="1"/>
  <c r="Q649" i="1" s="1"/>
  <c r="M653" i="1"/>
  <c r="Q653" i="1" s="1"/>
  <c r="M657" i="1"/>
  <c r="Q657" i="1" s="1"/>
  <c r="J657" i="1" s="1"/>
  <c r="M659" i="1"/>
  <c r="Q659" i="1" s="1"/>
  <c r="M660" i="1"/>
  <c r="Q660" i="1" s="1"/>
  <c r="J660" i="1" s="1"/>
  <c r="M661" i="1"/>
  <c r="Q661" i="1" s="1"/>
  <c r="J661" i="1" s="1"/>
  <c r="M662" i="1"/>
  <c r="Q662" i="1" s="1"/>
  <c r="J662" i="1" s="1"/>
  <c r="M663" i="1"/>
  <c r="Q663" i="1" s="1"/>
  <c r="J663" i="1" s="1"/>
  <c r="M670" i="1"/>
  <c r="Q670" i="1" s="1"/>
  <c r="J670" i="1" s="1"/>
  <c r="M671" i="1"/>
  <c r="Q671" i="1" s="1"/>
  <c r="M673" i="1"/>
  <c r="Q673" i="1" s="1"/>
  <c r="M674" i="1"/>
  <c r="Q674" i="1" s="1"/>
  <c r="J674" i="1" s="1"/>
  <c r="M675" i="1"/>
  <c r="Q675" i="1" s="1"/>
  <c r="J675" i="1" s="1"/>
  <c r="M676" i="1"/>
  <c r="Q676" i="1" s="1"/>
  <c r="M678" i="1"/>
  <c r="Q678" i="1" s="1"/>
  <c r="M679" i="1"/>
  <c r="Q679" i="1" s="1"/>
  <c r="J679" i="1" s="1"/>
  <c r="M680" i="1"/>
  <c r="Q680" i="1" s="1"/>
  <c r="J680" i="1" s="1"/>
  <c r="M681" i="1"/>
  <c r="Q681" i="1" s="1"/>
  <c r="J681" i="1" s="1"/>
  <c r="M682" i="1"/>
  <c r="Q682" i="1" s="1"/>
  <c r="J682" i="1" s="1"/>
  <c r="M684" i="1"/>
  <c r="Q684" i="1" s="1"/>
  <c r="J684" i="1" s="1"/>
  <c r="M685" i="1"/>
  <c r="Q685" i="1" s="1"/>
  <c r="J685" i="1" s="1"/>
  <c r="M690" i="1"/>
  <c r="Q690" i="1" s="1"/>
  <c r="M691" i="1"/>
  <c r="Q691" i="1" s="1"/>
  <c r="J691" i="1" s="1"/>
  <c r="M698" i="1"/>
  <c r="Q698" i="1" s="1"/>
  <c r="M699" i="1"/>
  <c r="Q699" i="1" s="1"/>
  <c r="J699" i="1" s="1"/>
  <c r="M700" i="1"/>
  <c r="Q700" i="1" s="1"/>
  <c r="J700" i="1" s="1"/>
  <c r="M701" i="1"/>
  <c r="Q701" i="1" s="1"/>
  <c r="J701" i="1" s="1"/>
  <c r="M702" i="1"/>
  <c r="Q702" i="1" s="1"/>
  <c r="J702" i="1" s="1"/>
  <c r="M703" i="1"/>
  <c r="Q703" i="1" s="1"/>
  <c r="J703" i="1" s="1"/>
  <c r="M704" i="1"/>
  <c r="Q704" i="1" s="1"/>
  <c r="J704" i="1" s="1"/>
  <c r="M705" i="1"/>
  <c r="Q705" i="1" s="1"/>
  <c r="J705" i="1" s="1"/>
  <c r="M708" i="1"/>
  <c r="Q708" i="1" s="1"/>
  <c r="M712" i="1"/>
  <c r="Q712" i="1" s="1"/>
  <c r="J712" i="1" s="1"/>
  <c r="M714" i="1"/>
  <c r="Q714" i="1" s="1"/>
  <c r="M716" i="1"/>
  <c r="Q716" i="1" s="1"/>
  <c r="M717" i="1"/>
  <c r="Q717" i="1" s="1"/>
  <c r="J717" i="1" s="1"/>
  <c r="M718" i="1"/>
  <c r="Q718" i="1" s="1"/>
  <c r="J718" i="1" s="1"/>
  <c r="M720" i="1"/>
  <c r="Q720" i="1" s="1"/>
  <c r="J720" i="1" s="1"/>
  <c r="M722" i="1"/>
  <c r="Q722" i="1" s="1"/>
  <c r="J722" i="1" s="1"/>
  <c r="M723" i="1"/>
  <c r="Q723" i="1" s="1"/>
  <c r="J723" i="1" s="1"/>
  <c r="M724" i="1"/>
  <c r="Q724" i="1" s="1"/>
  <c r="J724" i="1" s="1"/>
  <c r="M725" i="1"/>
  <c r="Q725" i="1" s="1"/>
  <c r="J725" i="1" s="1"/>
  <c r="M726" i="1"/>
  <c r="Q726" i="1" s="1"/>
  <c r="J726" i="1" s="1"/>
  <c r="M727" i="1"/>
  <c r="Q727" i="1" s="1"/>
  <c r="M728" i="1"/>
  <c r="Q728" i="1" s="1"/>
  <c r="J728" i="1" s="1"/>
  <c r="M731" i="1"/>
  <c r="Q731" i="1" s="1"/>
  <c r="M732" i="1"/>
  <c r="Q732" i="1" s="1"/>
  <c r="J732" i="1" s="1"/>
  <c r="M733" i="1"/>
  <c r="Q733" i="1" s="1"/>
  <c r="J733" i="1" s="1"/>
  <c r="M735" i="1"/>
  <c r="Q735" i="1" s="1"/>
  <c r="M736" i="1"/>
  <c r="Q736" i="1" s="1"/>
  <c r="J736" i="1" s="1"/>
  <c r="M737" i="1"/>
  <c r="Q737" i="1" s="1"/>
  <c r="J737" i="1" s="1"/>
  <c r="M741" i="1"/>
  <c r="Q741" i="1" s="1"/>
  <c r="M745" i="1"/>
  <c r="Q745" i="1" s="1"/>
  <c r="M746" i="1"/>
  <c r="Q746" i="1" s="1"/>
  <c r="J746" i="1" s="1"/>
  <c r="M750" i="1"/>
  <c r="Q750" i="1" s="1"/>
  <c r="M751" i="1"/>
  <c r="Q751" i="1" s="1"/>
  <c r="J751" i="1" s="1"/>
  <c r="M753" i="1"/>
  <c r="Q753" i="1" s="1"/>
  <c r="M754" i="1"/>
  <c r="Q754" i="1" s="1"/>
  <c r="M759" i="1"/>
  <c r="Q759" i="1" s="1"/>
  <c r="J759" i="1" s="1"/>
  <c r="M780" i="1"/>
  <c r="Q780" i="1" s="1"/>
  <c r="J780" i="1" s="1"/>
  <c r="M781" i="1"/>
  <c r="Q781" i="1" s="1"/>
  <c r="J781" i="1" s="1"/>
  <c r="M786" i="1"/>
  <c r="Q786" i="1" s="1"/>
  <c r="M789" i="1"/>
  <c r="Q789" i="1" s="1"/>
  <c r="M790" i="1"/>
  <c r="Q790" i="1" s="1"/>
  <c r="J790" i="1" s="1"/>
  <c r="N790" i="1"/>
  <c r="M791" i="1"/>
  <c r="Q791" i="1" s="1"/>
  <c r="J791" i="1" s="1"/>
  <c r="M792" i="1"/>
  <c r="Q792" i="1" s="1"/>
  <c r="J792" i="1" s="1"/>
  <c r="M793" i="1"/>
  <c r="Q793" i="1" s="1"/>
  <c r="J793" i="1" s="1"/>
  <c r="M795" i="1"/>
  <c r="Q795" i="1" s="1"/>
  <c r="M798" i="1"/>
  <c r="Q798" i="1" s="1"/>
  <c r="J798" i="1" s="1"/>
  <c r="M800" i="1"/>
  <c r="Q800" i="1" s="1"/>
  <c r="J800" i="1" s="1"/>
  <c r="Q206" i="1"/>
  <c r="J207" i="1"/>
  <c r="N207" i="1"/>
  <c r="P207" i="1" s="1"/>
  <c r="J208" i="1"/>
  <c r="J209" i="1"/>
  <c r="N209" i="1"/>
  <c r="P209" i="1" s="1"/>
  <c r="J210" i="1"/>
  <c r="J211" i="1"/>
  <c r="N211" i="1"/>
  <c r="P211" i="1" s="1"/>
  <c r="J212" i="1"/>
  <c r="J213" i="1"/>
  <c r="J215" i="1"/>
  <c r="J216" i="1"/>
  <c r="N216" i="1"/>
  <c r="P216" i="1" s="1"/>
  <c r="J217" i="1"/>
  <c r="J218" i="1"/>
  <c r="J219" i="1"/>
  <c r="J220" i="1"/>
  <c r="N220" i="1"/>
  <c r="P220" i="1" s="1"/>
  <c r="J221" i="1"/>
  <c r="N221" i="1"/>
  <c r="P221" i="1" s="1"/>
  <c r="J222" i="1"/>
  <c r="N222" i="1"/>
  <c r="P222" i="1" s="1"/>
  <c r="J223" i="1"/>
  <c r="J224" i="1"/>
  <c r="N224" i="1"/>
  <c r="P224" i="1" s="1"/>
  <c r="J225" i="1"/>
  <c r="J226" i="1"/>
  <c r="N226" i="1"/>
  <c r="P226" i="1" s="1"/>
  <c r="J227" i="1"/>
  <c r="J228" i="1"/>
  <c r="N228" i="1"/>
  <c r="P228" i="1" s="1"/>
  <c r="J229" i="1"/>
  <c r="J230" i="1"/>
  <c r="N230" i="1"/>
  <c r="P230" i="1" s="1"/>
  <c r="J231" i="1"/>
  <c r="J232" i="1"/>
  <c r="N232" i="1"/>
  <c r="P232" i="1" s="1"/>
  <c r="J233" i="1"/>
  <c r="N233" i="1"/>
  <c r="P233" i="1" s="1"/>
  <c r="J234" i="1"/>
  <c r="N234" i="1"/>
  <c r="P234" i="1" s="1"/>
  <c r="J235" i="1"/>
  <c r="J236" i="1"/>
  <c r="N236" i="1"/>
  <c r="P236" i="1" s="1"/>
  <c r="J237" i="1"/>
  <c r="J238" i="1"/>
  <c r="J239" i="1"/>
  <c r="N239" i="1"/>
  <c r="P239" i="1" s="1"/>
  <c r="J240" i="1"/>
  <c r="N240" i="1"/>
  <c r="P240" i="1" s="1"/>
  <c r="J241" i="1"/>
  <c r="J242" i="1"/>
  <c r="N242" i="1"/>
  <c r="P242" i="1" s="1"/>
  <c r="J243" i="1"/>
  <c r="N243" i="1"/>
  <c r="P243" i="1" s="1"/>
  <c r="J244" i="1"/>
  <c r="N244" i="1"/>
  <c r="P244" i="1" s="1"/>
  <c r="J245" i="1"/>
  <c r="J246" i="1"/>
  <c r="N246" i="1"/>
  <c r="P246" i="1" s="1"/>
  <c r="J247" i="1"/>
  <c r="N247" i="1"/>
  <c r="P247" i="1" s="1"/>
  <c r="J248" i="1"/>
  <c r="N248" i="1"/>
  <c r="P248" i="1" s="1"/>
  <c r="J249" i="1"/>
  <c r="J250" i="1"/>
  <c r="J251" i="1"/>
  <c r="J252" i="1"/>
  <c r="N252" i="1"/>
  <c r="P252" i="1" s="1"/>
  <c r="J253" i="1"/>
  <c r="J254" i="1"/>
  <c r="N254" i="1"/>
  <c r="P254" i="1" s="1"/>
  <c r="J255" i="1"/>
  <c r="J256" i="1"/>
  <c r="N256" i="1"/>
  <c r="P256" i="1" s="1"/>
  <c r="J257" i="1"/>
  <c r="J258" i="1"/>
  <c r="J259" i="1"/>
  <c r="J260" i="1"/>
  <c r="J261" i="1"/>
  <c r="N261" i="1"/>
  <c r="P261" i="1" s="1"/>
  <c r="J262" i="1"/>
  <c r="J263" i="1"/>
  <c r="J264" i="1"/>
  <c r="N264" i="1"/>
  <c r="P264" i="1" s="1"/>
  <c r="J265" i="1"/>
  <c r="J266" i="1"/>
  <c r="N266" i="1"/>
  <c r="P266" i="1" s="1"/>
  <c r="J267" i="1"/>
  <c r="N267" i="1"/>
  <c r="P267" i="1" s="1"/>
  <c r="J268" i="1"/>
  <c r="N268" i="1"/>
  <c r="P268" i="1" s="1"/>
  <c r="J269" i="1"/>
  <c r="N269" i="1"/>
  <c r="P269" i="1" s="1"/>
  <c r="J270" i="1"/>
  <c r="N270" i="1"/>
  <c r="P270" i="1" s="1"/>
  <c r="J271" i="1"/>
  <c r="J272" i="1"/>
  <c r="J273" i="1"/>
  <c r="N273" i="1"/>
  <c r="P273" i="1" s="1"/>
  <c r="J274" i="1"/>
  <c r="J275" i="1"/>
  <c r="J276" i="1"/>
  <c r="J277" i="1"/>
  <c r="N277" i="1"/>
  <c r="P277" i="1" s="1"/>
  <c r="J278" i="1"/>
  <c r="J279" i="1"/>
  <c r="N279" i="1"/>
  <c r="P279" i="1" s="1"/>
  <c r="J280" i="1"/>
  <c r="N280" i="1"/>
  <c r="P280" i="1" s="1"/>
  <c r="J281" i="1"/>
  <c r="J282" i="1"/>
  <c r="J283" i="1"/>
  <c r="J284" i="1"/>
  <c r="J285" i="1"/>
  <c r="J286" i="1"/>
  <c r="J287" i="1"/>
  <c r="N287" i="1"/>
  <c r="P287" i="1" s="1"/>
  <c r="J288" i="1"/>
  <c r="J289" i="1"/>
  <c r="J290" i="1"/>
  <c r="J291" i="1"/>
  <c r="J292" i="1"/>
  <c r="J293" i="1"/>
  <c r="N293" i="1"/>
  <c r="P293" i="1" s="1"/>
  <c r="J294" i="1"/>
  <c r="N294" i="1"/>
  <c r="P294" i="1" s="1"/>
  <c r="J295" i="1"/>
  <c r="N295" i="1"/>
  <c r="P295" i="1" s="1"/>
  <c r="J296" i="1"/>
  <c r="J297" i="1"/>
  <c r="N297" i="1"/>
  <c r="P297" i="1" s="1"/>
  <c r="J298" i="1"/>
  <c r="J299" i="1"/>
  <c r="J300" i="1"/>
  <c r="J301" i="1"/>
  <c r="J302" i="1"/>
  <c r="J303" i="1"/>
  <c r="J304" i="1"/>
  <c r="J305" i="1"/>
  <c r="J306" i="1"/>
  <c r="J307" i="1"/>
  <c r="J308" i="1"/>
  <c r="J309" i="1"/>
  <c r="J310" i="1"/>
  <c r="J311" i="1"/>
  <c r="J312" i="1"/>
  <c r="N312" i="1"/>
  <c r="P312" i="1" s="1"/>
  <c r="J313" i="1"/>
  <c r="J314" i="1"/>
  <c r="N314" i="1"/>
  <c r="P314" i="1" s="1"/>
  <c r="J315" i="1"/>
  <c r="J316" i="1"/>
  <c r="J317" i="1"/>
  <c r="J319" i="1"/>
  <c r="J320" i="1"/>
  <c r="J322" i="1"/>
  <c r="J324" i="1"/>
  <c r="J325" i="1"/>
  <c r="J327" i="1"/>
  <c r="J328" i="1"/>
  <c r="J329" i="1"/>
  <c r="J330" i="1"/>
  <c r="J331" i="1"/>
  <c r="J332" i="1"/>
  <c r="N332" i="1"/>
  <c r="P332" i="1" s="1"/>
  <c r="J333" i="1"/>
  <c r="J334" i="1"/>
  <c r="J335" i="1"/>
  <c r="J336" i="1"/>
  <c r="J337" i="1"/>
  <c r="J338" i="1"/>
  <c r="J339" i="1"/>
  <c r="J340" i="1"/>
  <c r="N340" i="1"/>
  <c r="P340" i="1" s="1"/>
  <c r="J341" i="1"/>
  <c r="J342" i="1"/>
  <c r="N342" i="1"/>
  <c r="P342" i="1" s="1"/>
  <c r="J343" i="1"/>
  <c r="N343" i="1"/>
  <c r="P343" i="1" s="1"/>
  <c r="J344" i="1"/>
  <c r="J345" i="1"/>
  <c r="N345" i="1"/>
  <c r="P345" i="1" s="1"/>
  <c r="J346" i="1"/>
  <c r="J347" i="1"/>
  <c r="N347" i="1"/>
  <c r="P347" i="1" s="1"/>
  <c r="J348" i="1"/>
  <c r="J349" i="1"/>
  <c r="N349" i="1"/>
  <c r="P349" i="1" s="1"/>
  <c r="J350" i="1"/>
  <c r="J351" i="1"/>
  <c r="J352" i="1"/>
  <c r="J353" i="1"/>
  <c r="J354" i="1"/>
  <c r="J355" i="1"/>
  <c r="J356" i="1"/>
  <c r="J357" i="1"/>
  <c r="J358" i="1"/>
  <c r="J359" i="1"/>
  <c r="J360" i="1"/>
  <c r="J361" i="1"/>
  <c r="N361" i="1"/>
  <c r="P361" i="1" s="1"/>
  <c r="J362" i="1"/>
  <c r="J363" i="1"/>
  <c r="N363" i="1"/>
  <c r="P363" i="1" s="1"/>
  <c r="J364" i="1"/>
  <c r="J365" i="1"/>
  <c r="N365" i="1"/>
  <c r="P365" i="1" s="1"/>
  <c r="J366" i="1"/>
  <c r="J367" i="1"/>
  <c r="J368" i="1"/>
  <c r="J369" i="1"/>
  <c r="J370" i="1"/>
  <c r="J371" i="1"/>
  <c r="J373" i="1"/>
  <c r="J375" i="1"/>
  <c r="J376" i="1"/>
  <c r="J380" i="1"/>
  <c r="J381" i="1"/>
  <c r="J382" i="1"/>
  <c r="M747" i="1"/>
  <c r="Q747" i="1" s="1"/>
  <c r="M752" i="1"/>
  <c r="Q752" i="1" s="1"/>
  <c r="N759" i="1"/>
  <c r="M769" i="1"/>
  <c r="Q769" i="1" s="1"/>
  <c r="M772" i="1"/>
  <c r="Q772" i="1" s="1"/>
  <c r="O405" i="1"/>
  <c r="J412" i="1"/>
  <c r="J417" i="1"/>
  <c r="J424" i="1"/>
  <c r="J430" i="1"/>
  <c r="J433" i="1"/>
  <c r="N433" i="1"/>
  <c r="P433" i="1" s="1"/>
  <c r="J435" i="1"/>
  <c r="J447" i="1"/>
  <c r="J454" i="1"/>
  <c r="J455" i="1"/>
  <c r="J461" i="1"/>
  <c r="J542" i="1"/>
  <c r="N542" i="1"/>
  <c r="P542" i="1" s="1"/>
  <c r="J543" i="1"/>
  <c r="J544" i="1"/>
  <c r="J545" i="1"/>
  <c r="J546" i="1"/>
  <c r="N546" i="1"/>
  <c r="J548" i="1"/>
  <c r="J551" i="1"/>
  <c r="N551" i="1"/>
  <c r="J553" i="1"/>
  <c r="J559" i="1"/>
  <c r="J560" i="1"/>
  <c r="J566" i="1"/>
  <c r="J571" i="1"/>
  <c r="J573" i="1"/>
  <c r="J580" i="1"/>
  <c r="N580" i="1"/>
  <c r="J581" i="1"/>
  <c r="J585" i="1"/>
  <c r="N585" i="1"/>
  <c r="J586" i="1"/>
  <c r="J590" i="1"/>
  <c r="J596" i="1"/>
  <c r="J600" i="1"/>
  <c r="J601" i="1"/>
  <c r="N601" i="1"/>
  <c r="J606" i="1"/>
  <c r="J608" i="1"/>
  <c r="N608" i="1"/>
  <c r="P608" i="1" s="1"/>
  <c r="J609" i="1"/>
  <c r="N609" i="1"/>
  <c r="J610" i="1"/>
  <c r="N610" i="1"/>
  <c r="J611" i="1"/>
  <c r="J615" i="1"/>
  <c r="J616" i="1"/>
  <c r="J617" i="1"/>
  <c r="N617" i="1"/>
  <c r="J620" i="1"/>
  <c r="J621" i="1"/>
  <c r="J623" i="1"/>
  <c r="J624" i="1"/>
  <c r="J626" i="1"/>
  <c r="N626" i="1"/>
  <c r="P626" i="1" s="1"/>
  <c r="J630" i="1"/>
  <c r="N630" i="1"/>
  <c r="M631" i="1"/>
  <c r="Q631" i="1" s="1"/>
  <c r="M634" i="1"/>
  <c r="Q634" i="1" s="1"/>
  <c r="M635" i="1"/>
  <c r="Q635" i="1" s="1"/>
  <c r="J636" i="1"/>
  <c r="M640" i="1"/>
  <c r="Q640" i="1" s="1"/>
  <c r="J641" i="1"/>
  <c r="J643" i="1"/>
  <c r="N643" i="1"/>
  <c r="P643" i="1" s="1"/>
  <c r="J645" i="1"/>
  <c r="M647" i="1"/>
  <c r="Q647" i="1" s="1"/>
  <c r="M648" i="1"/>
  <c r="Q648" i="1" s="1"/>
  <c r="J649" i="1"/>
  <c r="M650" i="1"/>
  <c r="Q650" i="1" s="1"/>
  <c r="M651" i="1"/>
  <c r="Q651" i="1" s="1"/>
  <c r="M652" i="1"/>
  <c r="Q652" i="1" s="1"/>
  <c r="J654" i="1"/>
  <c r="M655" i="1"/>
  <c r="Q655" i="1" s="1"/>
  <c r="J656" i="1"/>
  <c r="J659" i="1"/>
  <c r="M666" i="1"/>
  <c r="Q666" i="1" s="1"/>
  <c r="M667" i="1"/>
  <c r="Q667" i="1" s="1"/>
  <c r="J667" i="1" s="1"/>
  <c r="M668" i="1"/>
  <c r="Q668" i="1" s="1"/>
  <c r="M669" i="1"/>
  <c r="Q669" i="1" s="1"/>
  <c r="J669" i="1" s="1"/>
  <c r="J672" i="1"/>
  <c r="J673" i="1"/>
  <c r="M677" i="1"/>
  <c r="Q677" i="1" s="1"/>
  <c r="J678" i="1"/>
  <c r="M683" i="1"/>
  <c r="Q683" i="1" s="1"/>
  <c r="J683" i="1" s="1"/>
  <c r="M686" i="1"/>
  <c r="Q686" i="1" s="1"/>
  <c r="M687" i="1"/>
  <c r="Q687" i="1" s="1"/>
  <c r="M688" i="1"/>
  <c r="Q688" i="1" s="1"/>
  <c r="M689" i="1"/>
  <c r="Q689" i="1" s="1"/>
  <c r="J690" i="1"/>
  <c r="M693" i="1"/>
  <c r="Q693" i="1" s="1"/>
  <c r="M694" i="1"/>
  <c r="Q694" i="1" s="1"/>
  <c r="M695" i="1"/>
  <c r="Q695" i="1" s="1"/>
  <c r="M696" i="1"/>
  <c r="Q696" i="1" s="1"/>
  <c r="M697" i="1"/>
  <c r="Q697" i="1" s="1"/>
  <c r="J698" i="1"/>
  <c r="M706" i="1"/>
  <c r="Q706" i="1" s="1"/>
  <c r="M707" i="1"/>
  <c r="Q707" i="1" s="1"/>
  <c r="J708" i="1"/>
  <c r="M710" i="1"/>
  <c r="Q710" i="1" s="1"/>
  <c r="J710" i="1" s="1"/>
  <c r="M711" i="1"/>
  <c r="Q711" i="1" s="1"/>
  <c r="J713" i="1"/>
  <c r="J714" i="1"/>
  <c r="M715" i="1"/>
  <c r="Q715" i="1" s="1"/>
  <c r="J716" i="1"/>
  <c r="M719" i="1"/>
  <c r="Q719" i="1" s="1"/>
  <c r="J727" i="1"/>
  <c r="M729" i="1"/>
  <c r="Q729" i="1" s="1"/>
  <c r="M730" i="1"/>
  <c r="Q730" i="1" s="1"/>
  <c r="J731" i="1"/>
  <c r="M734" i="1"/>
  <c r="Q734" i="1" s="1"/>
  <c r="J735" i="1"/>
  <c r="J738" i="1"/>
  <c r="M744" i="1"/>
  <c r="Q744" i="1" s="1"/>
  <c r="M749" i="1"/>
  <c r="Q749" i="1" s="1"/>
  <c r="M764" i="1"/>
  <c r="Q764" i="1" s="1"/>
  <c r="M765" i="1"/>
  <c r="Q765" i="1" s="1"/>
  <c r="M768" i="1"/>
  <c r="Q768" i="1" s="1"/>
  <c r="M771" i="1"/>
  <c r="Q771" i="1" s="1"/>
  <c r="M773" i="1"/>
  <c r="Q773" i="1" s="1"/>
  <c r="M774" i="1"/>
  <c r="Q774" i="1" s="1"/>
  <c r="M775" i="1"/>
  <c r="Q775" i="1" s="1"/>
  <c r="M778" i="1"/>
  <c r="Q778" i="1" s="1"/>
  <c r="J778" i="1" s="1"/>
  <c r="O778" i="1"/>
  <c r="M782" i="1"/>
  <c r="Q782" i="1" s="1"/>
  <c r="J783" i="1"/>
  <c r="M784" i="1"/>
  <c r="Q784" i="1" s="1"/>
  <c r="M785" i="1"/>
  <c r="Q785" i="1" s="1"/>
  <c r="J786" i="1"/>
  <c r="M788" i="1"/>
  <c r="Q788" i="1" s="1"/>
  <c r="J789" i="1"/>
  <c r="N792" i="1"/>
  <c r="P792" i="1" s="1"/>
  <c r="J794" i="1"/>
  <c r="J795" i="1"/>
  <c r="M796" i="1"/>
  <c r="Q796" i="1" s="1"/>
  <c r="M797" i="1"/>
  <c r="Q797" i="1" s="1"/>
  <c r="O3" i="1"/>
  <c r="O5" i="1"/>
  <c r="O6" i="1"/>
  <c r="O8" i="1"/>
  <c r="O20" i="1"/>
  <c r="O2" i="1"/>
  <c r="M3" i="1"/>
  <c r="M5" i="1"/>
  <c r="M6" i="1"/>
  <c r="M8" i="1"/>
  <c r="M20" i="1"/>
  <c r="M2" i="1"/>
  <c r="N685" i="1" l="1"/>
  <c r="N704" i="1"/>
  <c r="P704" i="1" s="1"/>
  <c r="N781" i="1"/>
  <c r="N800" i="1"/>
  <c r="N213" i="1"/>
  <c r="P213" i="1" s="1"/>
  <c r="N217" i="1"/>
  <c r="P217" i="1" s="1"/>
  <c r="N288" i="1"/>
  <c r="P288" i="1" s="1"/>
  <c r="N292" i="1"/>
  <c r="P292" i="1" s="1"/>
  <c r="N317" i="1"/>
  <c r="P317" i="1" s="1"/>
  <c r="N320" i="1"/>
  <c r="P320" i="1" s="1"/>
  <c r="N358" i="1"/>
  <c r="P358" i="1" s="1"/>
  <c r="N368" i="1"/>
  <c r="P368" i="1" s="1"/>
  <c r="N376" i="1"/>
  <c r="P376" i="1" s="1"/>
  <c r="N611" i="1"/>
  <c r="N620" i="1"/>
  <c r="P620" i="1" s="1"/>
  <c r="Q170" i="1"/>
  <c r="Q186" i="1"/>
  <c r="J658" i="1"/>
  <c r="N658" i="1" s="1"/>
  <c r="P658" i="1" s="1"/>
  <c r="N793" i="1"/>
  <c r="N381" i="1"/>
  <c r="P381" i="1" s="1"/>
  <c r="N586" i="1"/>
  <c r="N48" i="1"/>
  <c r="P48" i="1" s="1"/>
  <c r="N657" i="1"/>
  <c r="N660" i="1"/>
  <c r="N662" i="1"/>
  <c r="N670" i="1"/>
  <c r="P670" i="1" s="1"/>
  <c r="N675" i="1"/>
  <c r="P675" i="1" s="1"/>
  <c r="N679" i="1"/>
  <c r="P679" i="1" s="1"/>
  <c r="N681" i="1"/>
  <c r="P681" i="1" s="1"/>
  <c r="N684" i="1"/>
  <c r="P684" i="1" s="1"/>
  <c r="N212" i="1"/>
  <c r="P212" i="1" s="1"/>
  <c r="N218" i="1"/>
  <c r="P218" i="1" s="1"/>
  <c r="N223" i="1"/>
  <c r="P223" i="1" s="1"/>
  <c r="N225" i="1"/>
  <c r="P225" i="1" s="1"/>
  <c r="N227" i="1"/>
  <c r="P227" i="1" s="1"/>
  <c r="N238" i="1"/>
  <c r="P238" i="1" s="1"/>
  <c r="N249" i="1"/>
  <c r="P249" i="1" s="1"/>
  <c r="N250" i="1"/>
  <c r="P250" i="1" s="1"/>
  <c r="N253" i="1"/>
  <c r="P253" i="1" s="1"/>
  <c r="N259" i="1"/>
  <c r="P259" i="1" s="1"/>
  <c r="N272" i="1"/>
  <c r="P272" i="1" s="1"/>
  <c r="N274" i="1"/>
  <c r="P274" i="1" s="1"/>
  <c r="N296" i="1"/>
  <c r="P296" i="1" s="1"/>
  <c r="N311" i="1"/>
  <c r="P311" i="1" s="1"/>
  <c r="N315" i="1"/>
  <c r="P315" i="1" s="1"/>
  <c r="N341" i="1"/>
  <c r="P341" i="1" s="1"/>
  <c r="N369" i="1"/>
  <c r="P369" i="1" s="1"/>
  <c r="N616" i="1"/>
  <c r="N637" i="1"/>
  <c r="N642" i="1"/>
  <c r="N646" i="1"/>
  <c r="N661" i="1"/>
  <c r="P661" i="1" s="1"/>
  <c r="N663" i="1"/>
  <c r="P663" i="1" s="1"/>
  <c r="N674" i="1"/>
  <c r="N680" i="1"/>
  <c r="N682" i="1"/>
  <c r="P682" i="1" s="1"/>
  <c r="N219" i="1"/>
  <c r="P219" i="1" s="1"/>
  <c r="N229" i="1"/>
  <c r="P229" i="1" s="1"/>
  <c r="N245" i="1"/>
  <c r="P245" i="1" s="1"/>
  <c r="N262" i="1"/>
  <c r="P262" i="1" s="1"/>
  <c r="N313" i="1"/>
  <c r="P313" i="1" s="1"/>
  <c r="N231" i="1"/>
  <c r="P231" i="1" s="1"/>
  <c r="N251" i="1"/>
  <c r="P251" i="1" s="1"/>
  <c r="N260" i="1"/>
  <c r="P260" i="1" s="1"/>
  <c r="N278" i="1"/>
  <c r="P278" i="1" s="1"/>
  <c r="N281" i="1"/>
  <c r="P281" i="1" s="1"/>
  <c r="N286" i="1"/>
  <c r="P286" i="1" s="1"/>
  <c r="N328" i="1"/>
  <c r="P328" i="1" s="1"/>
  <c r="N329" i="1"/>
  <c r="P329" i="1" s="1"/>
  <c r="N330" i="1"/>
  <c r="P330" i="1" s="1"/>
  <c r="N335" i="1"/>
  <c r="P335" i="1" s="1"/>
  <c r="N338" i="1"/>
  <c r="P338" i="1" s="1"/>
  <c r="N430" i="1"/>
  <c r="P430" i="1" s="1"/>
  <c r="Q214" i="1"/>
  <c r="Q386" i="1"/>
  <c r="N700" i="1"/>
  <c r="P700" i="1" s="1"/>
  <c r="N702" i="1"/>
  <c r="P702" i="1" s="1"/>
  <c r="N712" i="1"/>
  <c r="N720" i="1"/>
  <c r="N723" i="1"/>
  <c r="N725" i="1"/>
  <c r="N733" i="1"/>
  <c r="N737" i="1"/>
  <c r="N299" i="1"/>
  <c r="P299" i="1" s="1"/>
  <c r="N327" i="1"/>
  <c r="P327" i="1" s="1"/>
  <c r="N590" i="1"/>
  <c r="Q158" i="1"/>
  <c r="J114" i="1"/>
  <c r="J117" i="1"/>
  <c r="N117" i="1"/>
  <c r="P117" i="1" s="1"/>
  <c r="J118" i="1"/>
  <c r="N118" i="1"/>
  <c r="P118" i="1" s="1"/>
  <c r="J119" i="1"/>
  <c r="N119" i="1"/>
  <c r="P119" i="1" s="1"/>
  <c r="J124" i="1"/>
  <c r="N124" i="1"/>
  <c r="P124" i="1" s="1"/>
  <c r="J127" i="1"/>
  <c r="N127" i="1"/>
  <c r="P127" i="1" s="1"/>
  <c r="J131" i="1"/>
  <c r="N131" i="1"/>
  <c r="P131" i="1" s="1"/>
  <c r="J134" i="1"/>
  <c r="N134" i="1"/>
  <c r="P134" i="1" s="1"/>
  <c r="J139" i="1"/>
  <c r="N139" i="1"/>
  <c r="P139" i="1" s="1"/>
  <c r="J143" i="1"/>
  <c r="N143" i="1"/>
  <c r="P143" i="1" s="1"/>
  <c r="J149" i="1"/>
  <c r="N149" i="1"/>
  <c r="P149" i="1" s="1"/>
  <c r="J156" i="1"/>
  <c r="N156" i="1"/>
  <c r="P156" i="1" s="1"/>
  <c r="J159" i="1"/>
  <c r="N159" i="1"/>
  <c r="P159" i="1" s="1"/>
  <c r="J160" i="1"/>
  <c r="N160" i="1"/>
  <c r="P160" i="1" s="1"/>
  <c r="J163" i="1"/>
  <c r="N163" i="1"/>
  <c r="P163" i="1" s="1"/>
  <c r="J168" i="1"/>
  <c r="N168" i="1"/>
  <c r="P168" i="1" s="1"/>
  <c r="J171" i="1"/>
  <c r="N171" i="1"/>
  <c r="P171" i="1" s="1"/>
  <c r="J172" i="1"/>
  <c r="N172" i="1"/>
  <c r="P172" i="1" s="1"/>
  <c r="J173" i="1"/>
  <c r="N173" i="1"/>
  <c r="P173" i="1" s="1"/>
  <c r="J174" i="1"/>
  <c r="N174" i="1"/>
  <c r="P174" i="1" s="1"/>
  <c r="J175" i="1"/>
  <c r="N175" i="1"/>
  <c r="P175" i="1" s="1"/>
  <c r="J176" i="1"/>
  <c r="N176" i="1"/>
  <c r="P176" i="1" s="1"/>
  <c r="J177" i="1"/>
  <c r="N177" i="1"/>
  <c r="P177" i="1" s="1"/>
  <c r="J178" i="1"/>
  <c r="N178" i="1"/>
  <c r="P178" i="1" s="1"/>
  <c r="J180" i="1"/>
  <c r="N180" i="1"/>
  <c r="P180" i="1" s="1"/>
  <c r="J181" i="1"/>
  <c r="N181" i="1"/>
  <c r="P181" i="1" s="1"/>
  <c r="J182" i="1"/>
  <c r="N182" i="1"/>
  <c r="P182" i="1" s="1"/>
  <c r="J183" i="1"/>
  <c r="N183" i="1"/>
  <c r="P183" i="1" s="1"/>
  <c r="J185" i="1"/>
  <c r="J187" i="1"/>
  <c r="N187" i="1"/>
  <c r="P187" i="1" s="1"/>
  <c r="J188" i="1"/>
  <c r="N188" i="1"/>
  <c r="P188" i="1" s="1"/>
  <c r="J189" i="1"/>
  <c r="N189" i="1"/>
  <c r="P189" i="1" s="1"/>
  <c r="J190" i="1"/>
  <c r="J191" i="1"/>
  <c r="J192" i="1"/>
  <c r="J193" i="1"/>
  <c r="J194" i="1"/>
  <c r="J195" i="1"/>
  <c r="J196" i="1"/>
  <c r="J197" i="1"/>
  <c r="J198" i="1"/>
  <c r="N198" i="1"/>
  <c r="P198" i="1" s="1"/>
  <c r="J199" i="1"/>
  <c r="N199" i="1"/>
  <c r="P199" i="1" s="1"/>
  <c r="J200" i="1"/>
  <c r="N200" i="1"/>
  <c r="P200" i="1" s="1"/>
  <c r="J202" i="1"/>
  <c r="J203" i="1"/>
  <c r="J204" i="1"/>
  <c r="N204" i="1"/>
  <c r="P204" i="1" s="1"/>
  <c r="J205" i="1"/>
  <c r="N205" i="1"/>
  <c r="P205" i="1" s="1"/>
  <c r="N691" i="1"/>
  <c r="N699" i="1"/>
  <c r="N701" i="1"/>
  <c r="N703" i="1"/>
  <c r="N717" i="1"/>
  <c r="N718" i="1"/>
  <c r="N722" i="1"/>
  <c r="N724" i="1"/>
  <c r="N726" i="1"/>
  <c r="N728" i="1"/>
  <c r="N732" i="1"/>
  <c r="N736" i="1"/>
  <c r="N780" i="1"/>
  <c r="N791" i="1"/>
  <c r="N798" i="1"/>
  <c r="N208" i="1"/>
  <c r="P208" i="1" s="1"/>
  <c r="N210" i="1"/>
  <c r="P210" i="1" s="1"/>
  <c r="N215" i="1"/>
  <c r="P215" i="1" s="1"/>
  <c r="N235" i="1"/>
  <c r="P235" i="1" s="1"/>
  <c r="N237" i="1"/>
  <c r="P237" i="1" s="1"/>
  <c r="N241" i="1"/>
  <c r="P241" i="1" s="1"/>
  <c r="N291" i="1"/>
  <c r="P291" i="1" s="1"/>
  <c r="Q555" i="1"/>
  <c r="N283" i="1"/>
  <c r="P283" i="1" s="1"/>
  <c r="N304" i="1"/>
  <c r="P304" i="1" s="1"/>
  <c r="N305" i="1"/>
  <c r="P305" i="1" s="1"/>
  <c r="J318" i="1"/>
  <c r="N318" i="1"/>
  <c r="P318" i="1" s="1"/>
  <c r="J321" i="1"/>
  <c r="J326" i="1"/>
  <c r="N326" i="1"/>
  <c r="P326" i="1" s="1"/>
  <c r="J377" i="1"/>
  <c r="N377" i="1"/>
  <c r="P377" i="1" s="1"/>
  <c r="J379" i="1"/>
  <c r="J758" i="1"/>
  <c r="J763" i="1"/>
  <c r="Q405" i="1"/>
  <c r="J407" i="1"/>
  <c r="J409" i="1"/>
  <c r="J410" i="1"/>
  <c r="J415" i="1"/>
  <c r="J420" i="1"/>
  <c r="J421" i="1"/>
  <c r="J423" i="1"/>
  <c r="J426" i="1"/>
  <c r="J428" i="1"/>
  <c r="J431" i="1"/>
  <c r="N431" i="1"/>
  <c r="P431" i="1" s="1"/>
  <c r="J434" i="1"/>
  <c r="J437" i="1"/>
  <c r="J441" i="1"/>
  <c r="J442" i="1"/>
  <c r="J443" i="1"/>
  <c r="J445" i="1"/>
  <c r="J450" i="1"/>
  <c r="J452" i="1"/>
  <c r="J456" i="1"/>
  <c r="J458" i="1"/>
  <c r="J460" i="1"/>
  <c r="J462" i="1"/>
  <c r="J463" i="1"/>
  <c r="J464" i="1"/>
  <c r="J465" i="1"/>
  <c r="J467" i="1"/>
  <c r="J473" i="1"/>
  <c r="J475" i="1"/>
  <c r="J477" i="1"/>
  <c r="J481" i="1"/>
  <c r="J483" i="1"/>
  <c r="J485" i="1"/>
  <c r="J489" i="1"/>
  <c r="J490" i="1"/>
  <c r="J492" i="1"/>
  <c r="J497" i="1"/>
  <c r="J498" i="1"/>
  <c r="J499" i="1"/>
  <c r="J500" i="1"/>
  <c r="N500" i="1"/>
  <c r="P500" i="1" s="1"/>
  <c r="J501" i="1"/>
  <c r="J502" i="1"/>
  <c r="N502" i="1"/>
  <c r="P502" i="1" s="1"/>
  <c r="J503" i="1"/>
  <c r="J505" i="1"/>
  <c r="J507" i="1"/>
  <c r="J508" i="1"/>
  <c r="J510" i="1"/>
  <c r="J513" i="1"/>
  <c r="J514" i="1"/>
  <c r="J517" i="1"/>
  <c r="J520" i="1"/>
  <c r="J524" i="1"/>
  <c r="J526" i="1"/>
  <c r="J529" i="1"/>
  <c r="J532" i="1"/>
  <c r="J534" i="1"/>
  <c r="J537" i="1"/>
  <c r="J538" i="1"/>
  <c r="J541" i="1"/>
  <c r="P546" i="1"/>
  <c r="P551" i="1"/>
  <c r="J556" i="1"/>
  <c r="J558" i="1"/>
  <c r="J561" i="1"/>
  <c r="J564" i="1"/>
  <c r="J565" i="1"/>
  <c r="N565" i="1"/>
  <c r="P565" i="1" s="1"/>
  <c r="J567" i="1"/>
  <c r="J568" i="1"/>
  <c r="J569" i="1"/>
  <c r="J570" i="1"/>
  <c r="J577" i="1"/>
  <c r="J579" i="1"/>
  <c r="J582" i="1"/>
  <c r="P585" i="1"/>
  <c r="J587" i="1"/>
  <c r="J588" i="1"/>
  <c r="J589" i="1"/>
  <c r="J591" i="1"/>
  <c r="N591" i="1"/>
  <c r="P591" i="1" s="1"/>
  <c r="J594" i="1"/>
  <c r="J599" i="1"/>
  <c r="P601" i="1"/>
  <c r="J604" i="1"/>
  <c r="N604" i="1"/>
  <c r="P604" i="1" s="1"/>
  <c r="P610" i="1"/>
  <c r="J612" i="1"/>
  <c r="N612" i="1"/>
  <c r="P612" i="1" s="1"/>
  <c r="J613" i="1"/>
  <c r="P617" i="1"/>
  <c r="J622" i="1"/>
  <c r="J740" i="1"/>
  <c r="J743" i="1"/>
  <c r="J757" i="1"/>
  <c r="J776" i="1"/>
  <c r="Q777" i="1"/>
  <c r="J201" i="1"/>
  <c r="J384" i="1"/>
  <c r="J385" i="1"/>
  <c r="J387" i="1"/>
  <c r="J388" i="1"/>
  <c r="J390" i="1"/>
  <c r="N390" i="1"/>
  <c r="P390" i="1" s="1"/>
  <c r="J391" i="1"/>
  <c r="J392" i="1"/>
  <c r="N392" i="1"/>
  <c r="P392" i="1" s="1"/>
  <c r="J393" i="1"/>
  <c r="N265" i="1"/>
  <c r="P265" i="1" s="1"/>
  <c r="N301" i="1"/>
  <c r="P301" i="1" s="1"/>
  <c r="N302" i="1"/>
  <c r="P302" i="1" s="1"/>
  <c r="N303" i="1"/>
  <c r="P303" i="1" s="1"/>
  <c r="J323" i="1"/>
  <c r="N355" i="1"/>
  <c r="P355" i="1" s="1"/>
  <c r="J374" i="1"/>
  <c r="J378" i="1"/>
  <c r="J383" i="1"/>
  <c r="P759" i="1"/>
  <c r="J770" i="1"/>
  <c r="J406" i="1"/>
  <c r="J408" i="1"/>
  <c r="J411" i="1"/>
  <c r="J413" i="1"/>
  <c r="J414" i="1"/>
  <c r="J416" i="1"/>
  <c r="J418" i="1"/>
  <c r="J419" i="1"/>
  <c r="J422" i="1"/>
  <c r="J425" i="1"/>
  <c r="N425" i="1"/>
  <c r="P425" i="1" s="1"/>
  <c r="J427" i="1"/>
  <c r="J429" i="1"/>
  <c r="J432" i="1"/>
  <c r="J436" i="1"/>
  <c r="J438" i="1"/>
  <c r="J439" i="1"/>
  <c r="J440" i="1"/>
  <c r="J444" i="1"/>
  <c r="N444" i="1"/>
  <c r="P444" i="1" s="1"/>
  <c r="J446" i="1"/>
  <c r="J448" i="1"/>
  <c r="J449" i="1"/>
  <c r="J451" i="1"/>
  <c r="J453" i="1"/>
  <c r="J457" i="1"/>
  <c r="J459" i="1"/>
  <c r="J466" i="1"/>
  <c r="J468" i="1"/>
  <c r="J469" i="1"/>
  <c r="J470" i="1"/>
  <c r="J471" i="1"/>
  <c r="J472" i="1"/>
  <c r="J474" i="1"/>
  <c r="J476" i="1"/>
  <c r="J478" i="1"/>
  <c r="J479" i="1"/>
  <c r="J480" i="1"/>
  <c r="J482" i="1"/>
  <c r="J484" i="1"/>
  <c r="J486" i="1"/>
  <c r="J487" i="1"/>
  <c r="J488" i="1"/>
  <c r="J491" i="1"/>
  <c r="J493" i="1"/>
  <c r="J494" i="1"/>
  <c r="J495" i="1"/>
  <c r="J496" i="1"/>
  <c r="J504" i="1"/>
  <c r="J506" i="1"/>
  <c r="J509" i="1"/>
  <c r="J511" i="1"/>
  <c r="J512" i="1"/>
  <c r="J515" i="1"/>
  <c r="J516" i="1"/>
  <c r="J518" i="1"/>
  <c r="J519" i="1"/>
  <c r="J521" i="1"/>
  <c r="N521" i="1"/>
  <c r="P521" i="1" s="1"/>
  <c r="J522" i="1"/>
  <c r="J523" i="1"/>
  <c r="J525" i="1"/>
  <c r="J527" i="1"/>
  <c r="J528" i="1"/>
  <c r="J530" i="1"/>
  <c r="J531" i="1"/>
  <c r="J533" i="1"/>
  <c r="J535" i="1"/>
  <c r="J536" i="1"/>
  <c r="N536" i="1"/>
  <c r="P536" i="1" s="1"/>
  <c r="J539" i="1"/>
  <c r="J540" i="1"/>
  <c r="J547" i="1"/>
  <c r="N547" i="1"/>
  <c r="P547" i="1" s="1"/>
  <c r="J549" i="1"/>
  <c r="J550" i="1"/>
  <c r="J552" i="1"/>
  <c r="N552" i="1"/>
  <c r="P552" i="1" s="1"/>
  <c r="J554" i="1"/>
  <c r="N554" i="1"/>
  <c r="P554" i="1" s="1"/>
  <c r="J557" i="1"/>
  <c r="N559" i="1"/>
  <c r="P559" i="1" s="1"/>
  <c r="N560" i="1"/>
  <c r="P560" i="1" s="1"/>
  <c r="J562" i="1"/>
  <c r="J563" i="1"/>
  <c r="J572" i="1"/>
  <c r="N572" i="1"/>
  <c r="P572" i="1" s="1"/>
  <c r="J574" i="1"/>
  <c r="J575" i="1"/>
  <c r="J576" i="1"/>
  <c r="J578" i="1"/>
  <c r="N578" i="1"/>
  <c r="P578" i="1" s="1"/>
  <c r="P580" i="1"/>
  <c r="J583" i="1"/>
  <c r="J584" i="1"/>
  <c r="P586" i="1"/>
  <c r="P590" i="1"/>
  <c r="J592" i="1"/>
  <c r="J593" i="1"/>
  <c r="J595" i="1"/>
  <c r="J597" i="1"/>
  <c r="J598" i="1"/>
  <c r="N598" i="1"/>
  <c r="P598" i="1" s="1"/>
  <c r="J602" i="1"/>
  <c r="N602" i="1"/>
  <c r="P602" i="1" s="1"/>
  <c r="J603" i="1"/>
  <c r="J605" i="1"/>
  <c r="J607" i="1"/>
  <c r="P609" i="1"/>
  <c r="P611" i="1"/>
  <c r="J614" i="1"/>
  <c r="P616" i="1"/>
  <c r="J619" i="1"/>
  <c r="J625" i="1"/>
  <c r="J627" i="1"/>
  <c r="N627" i="1"/>
  <c r="P627" i="1" s="1"/>
  <c r="J628" i="1"/>
  <c r="J629" i="1"/>
  <c r="P630" i="1"/>
  <c r="J639" i="1"/>
  <c r="J644" i="1"/>
  <c r="J756" i="1"/>
  <c r="N51" i="1"/>
  <c r="P51" i="1" s="1"/>
  <c r="N63" i="1"/>
  <c r="P63" i="1" s="1"/>
  <c r="N70" i="1"/>
  <c r="P70" i="1" s="1"/>
  <c r="N75" i="1"/>
  <c r="P75" i="1" s="1"/>
  <c r="N114" i="1"/>
  <c r="P114" i="1" s="1"/>
  <c r="N351" i="1"/>
  <c r="P351" i="1" s="1"/>
  <c r="N352" i="1"/>
  <c r="P352" i="1" s="1"/>
  <c r="N354" i="1"/>
  <c r="P354" i="1" s="1"/>
  <c r="N359" i="1"/>
  <c r="P359" i="1" s="1"/>
  <c r="N360" i="1"/>
  <c r="P360" i="1" s="1"/>
  <c r="N373" i="1"/>
  <c r="P373" i="1" s="1"/>
  <c r="N424" i="1"/>
  <c r="P424" i="1" s="1"/>
  <c r="N447" i="1"/>
  <c r="P447" i="1" s="1"/>
  <c r="N544" i="1"/>
  <c r="P544" i="1" s="1"/>
  <c r="N600" i="1"/>
  <c r="P600" i="1" s="1"/>
  <c r="N606" i="1"/>
  <c r="P606" i="1" s="1"/>
  <c r="N615" i="1"/>
  <c r="P615" i="1" s="1"/>
  <c r="N619" i="1"/>
  <c r="P619" i="1" s="1"/>
  <c r="N621" i="1"/>
  <c r="P621" i="1" s="1"/>
  <c r="N623" i="1"/>
  <c r="P623" i="1" s="1"/>
  <c r="N639" i="1"/>
  <c r="P639" i="1" s="1"/>
  <c r="N738" i="1"/>
  <c r="P738" i="1" s="1"/>
  <c r="Q618" i="1"/>
  <c r="N18" i="1"/>
  <c r="P18" i="1" s="1"/>
  <c r="N72" i="1"/>
  <c r="P72" i="1" s="1"/>
  <c r="N190" i="1"/>
  <c r="P190" i="1" s="1"/>
  <c r="N194" i="1"/>
  <c r="P194" i="1" s="1"/>
  <c r="N195" i="1"/>
  <c r="P195" i="1" s="1"/>
  <c r="N196" i="1"/>
  <c r="P196" i="1" s="1"/>
  <c r="N346" i="1"/>
  <c r="P346" i="1" s="1"/>
  <c r="N375" i="1"/>
  <c r="P375" i="1" s="1"/>
  <c r="N382" i="1"/>
  <c r="P382" i="1" s="1"/>
  <c r="N553" i="1"/>
  <c r="P553" i="1" s="1"/>
  <c r="N581" i="1"/>
  <c r="P581" i="1" s="1"/>
  <c r="N624" i="1"/>
  <c r="P624" i="1" s="1"/>
  <c r="N629" i="1"/>
  <c r="P629" i="1" s="1"/>
  <c r="J394" i="1"/>
  <c r="N394" i="1"/>
  <c r="P394" i="1" s="1"/>
  <c r="J395" i="1"/>
  <c r="N395" i="1"/>
  <c r="P395" i="1" s="1"/>
  <c r="J396" i="1"/>
  <c r="N396" i="1"/>
  <c r="P396" i="1" s="1"/>
  <c r="J397" i="1"/>
  <c r="N397" i="1"/>
  <c r="P397" i="1" s="1"/>
  <c r="J398" i="1"/>
  <c r="N398" i="1"/>
  <c r="P398" i="1" s="1"/>
  <c r="J400" i="1"/>
  <c r="N400" i="1"/>
  <c r="P400" i="1" s="1"/>
  <c r="J401" i="1"/>
  <c r="N401" i="1"/>
  <c r="P401" i="1" s="1"/>
  <c r="J402" i="1"/>
  <c r="N402" i="1"/>
  <c r="P402" i="1" s="1"/>
  <c r="J403" i="1"/>
  <c r="N403" i="1"/>
  <c r="P403" i="1" s="1"/>
  <c r="J632" i="1"/>
  <c r="N632" i="1"/>
  <c r="P632" i="1" s="1"/>
  <c r="J633" i="1"/>
  <c r="N633" i="1" s="1"/>
  <c r="P633" i="1" s="1"/>
  <c r="P637" i="1"/>
  <c r="J665" i="1"/>
  <c r="N665" i="1"/>
  <c r="P665" i="1" s="1"/>
  <c r="N348" i="1"/>
  <c r="P348" i="1" s="1"/>
  <c r="N356" i="1"/>
  <c r="P356" i="1" s="1"/>
  <c r="N357" i="1"/>
  <c r="P357" i="1" s="1"/>
  <c r="N364" i="1"/>
  <c r="P364" i="1" s="1"/>
  <c r="N366" i="1"/>
  <c r="P366" i="1" s="1"/>
  <c r="N367" i="1"/>
  <c r="P367" i="1" s="1"/>
  <c r="N455" i="1"/>
  <c r="P455" i="1" s="1"/>
  <c r="N510" i="1"/>
  <c r="P510" i="1" s="1"/>
  <c r="N514" i="1"/>
  <c r="P514" i="1" s="1"/>
  <c r="N543" i="1"/>
  <c r="P543" i="1" s="1"/>
  <c r="N566" i="1"/>
  <c r="P566" i="1" s="1"/>
  <c r="N573" i="1"/>
  <c r="P573" i="1" s="1"/>
  <c r="N705" i="1"/>
  <c r="J721" i="1"/>
  <c r="N721" i="1" s="1"/>
  <c r="P721" i="1" s="1"/>
  <c r="N545" i="1"/>
  <c r="P545" i="1" s="1"/>
  <c r="N548" i="1"/>
  <c r="P548" i="1" s="1"/>
  <c r="N710" i="1"/>
  <c r="P710" i="1" s="1"/>
  <c r="J4" i="1"/>
  <c r="N4" i="1"/>
  <c r="P4" i="1" s="1"/>
  <c r="J9" i="1"/>
  <c r="N9" i="1"/>
  <c r="P9" i="1" s="1"/>
  <c r="J10" i="1"/>
  <c r="N10" i="1"/>
  <c r="P10" i="1" s="1"/>
  <c r="J11" i="1"/>
  <c r="N11" i="1"/>
  <c r="P11" i="1" s="1"/>
  <c r="J12" i="1"/>
  <c r="N12" i="1"/>
  <c r="P12" i="1" s="1"/>
  <c r="J14" i="1"/>
  <c r="N14" i="1"/>
  <c r="P14" i="1" s="1"/>
  <c r="J15" i="1"/>
  <c r="N15" i="1"/>
  <c r="P15" i="1" s="1"/>
  <c r="J16" i="1"/>
  <c r="N16" i="1"/>
  <c r="P16" i="1" s="1"/>
  <c r="J19" i="1"/>
  <c r="J21" i="1"/>
  <c r="J22" i="1"/>
  <c r="J23" i="1"/>
  <c r="N23" i="1"/>
  <c r="P23" i="1" s="1"/>
  <c r="J25" i="1"/>
  <c r="N25" i="1"/>
  <c r="P25" i="1" s="1"/>
  <c r="J26" i="1"/>
  <c r="N26" i="1"/>
  <c r="P26" i="1" s="1"/>
  <c r="J27" i="1"/>
  <c r="N27" i="1"/>
  <c r="P27" i="1" s="1"/>
  <c r="J29" i="1"/>
  <c r="N29" i="1"/>
  <c r="P29" i="1" s="1"/>
  <c r="J30" i="1"/>
  <c r="J31" i="1"/>
  <c r="N31" i="1"/>
  <c r="P31" i="1" s="1"/>
  <c r="J32" i="1"/>
  <c r="N32" i="1"/>
  <c r="P32" i="1" s="1"/>
  <c r="J33" i="1"/>
  <c r="J34" i="1"/>
  <c r="J35" i="1"/>
  <c r="N35" i="1"/>
  <c r="P35" i="1" s="1"/>
  <c r="J36" i="1"/>
  <c r="J37" i="1"/>
  <c r="J38" i="1"/>
  <c r="N38" i="1"/>
  <c r="P38" i="1" s="1"/>
  <c r="J40" i="1"/>
  <c r="J41" i="1"/>
  <c r="N41" i="1"/>
  <c r="P41" i="1" s="1"/>
  <c r="J42" i="1"/>
  <c r="N42" i="1"/>
  <c r="P42" i="1" s="1"/>
  <c r="J43" i="1"/>
  <c r="N43" i="1"/>
  <c r="P43" i="1" s="1"/>
  <c r="J44" i="1"/>
  <c r="N44" i="1"/>
  <c r="P44" i="1" s="1"/>
  <c r="J45" i="1"/>
  <c r="N45" i="1"/>
  <c r="P45" i="1" s="1"/>
  <c r="J47" i="1"/>
  <c r="N47" i="1"/>
  <c r="P47" i="1" s="1"/>
  <c r="J49" i="1"/>
  <c r="N49" i="1"/>
  <c r="P49" i="1" s="1"/>
  <c r="J50" i="1"/>
  <c r="N50" i="1"/>
  <c r="P50" i="1" s="1"/>
  <c r="J52" i="1"/>
  <c r="N52" i="1"/>
  <c r="P52" i="1" s="1"/>
  <c r="J53" i="1"/>
  <c r="N53" i="1"/>
  <c r="P53" i="1" s="1"/>
  <c r="J54" i="1"/>
  <c r="J57" i="1"/>
  <c r="J58" i="1"/>
  <c r="N58" i="1"/>
  <c r="P58" i="1" s="1"/>
  <c r="J59" i="1"/>
  <c r="J60" i="1"/>
  <c r="N60" i="1"/>
  <c r="P60" i="1" s="1"/>
  <c r="J62" i="1"/>
  <c r="J64" i="1"/>
  <c r="J65" i="1"/>
  <c r="J66" i="1"/>
  <c r="N66" i="1"/>
  <c r="P66" i="1" s="1"/>
  <c r="J67" i="1"/>
  <c r="N67" i="1"/>
  <c r="P67" i="1" s="1"/>
  <c r="J68" i="1"/>
  <c r="N68" i="1"/>
  <c r="P68" i="1" s="1"/>
  <c r="J69" i="1"/>
  <c r="N69" i="1"/>
  <c r="P69" i="1" s="1"/>
  <c r="J71" i="1"/>
  <c r="J74" i="1"/>
  <c r="J78" i="1"/>
  <c r="J79" i="1"/>
  <c r="N79" i="1"/>
  <c r="P79" i="1" s="1"/>
  <c r="J81" i="1"/>
  <c r="J83" i="1"/>
  <c r="J85" i="1"/>
  <c r="N85" i="1"/>
  <c r="P85" i="1" s="1"/>
  <c r="J86" i="1"/>
  <c r="J186" i="1"/>
  <c r="N186" i="1"/>
  <c r="P186" i="1" s="1"/>
  <c r="J638" i="1"/>
  <c r="N638" i="1" s="1"/>
  <c r="P638" i="1" s="1"/>
  <c r="P642" i="1"/>
  <c r="P646" i="1"/>
  <c r="P657" i="1"/>
  <c r="P660" i="1"/>
  <c r="P662" i="1"/>
  <c r="J664" i="1"/>
  <c r="N664" i="1" s="1"/>
  <c r="P664" i="1" s="1"/>
  <c r="P674" i="1"/>
  <c r="P680" i="1"/>
  <c r="P685" i="1"/>
  <c r="J692" i="1"/>
  <c r="N692" i="1" s="1"/>
  <c r="P692" i="1" s="1"/>
  <c r="J709" i="1"/>
  <c r="N709" i="1" s="1"/>
  <c r="P709" i="1" s="1"/>
  <c r="P720" i="1"/>
  <c r="P723" i="1"/>
  <c r="P725" i="1"/>
  <c r="N412" i="1"/>
  <c r="P412" i="1" s="1"/>
  <c r="P733" i="1"/>
  <c r="P737" i="1"/>
  <c r="J739" i="1"/>
  <c r="N739" i="1" s="1"/>
  <c r="P739" i="1" s="1"/>
  <c r="J779" i="1"/>
  <c r="J372" i="1"/>
  <c r="N571" i="1"/>
  <c r="P571" i="1" s="1"/>
  <c r="N596" i="1"/>
  <c r="P596" i="1" s="1"/>
  <c r="J87" i="1"/>
  <c r="N87" i="1"/>
  <c r="P87" i="1" s="1"/>
  <c r="J88" i="1"/>
  <c r="N88" i="1"/>
  <c r="P88" i="1" s="1"/>
  <c r="J90" i="1"/>
  <c r="N90" i="1"/>
  <c r="P90" i="1" s="1"/>
  <c r="J91" i="1"/>
  <c r="N91" i="1"/>
  <c r="P91" i="1" s="1"/>
  <c r="J93" i="1"/>
  <c r="J94" i="1"/>
  <c r="J95" i="1"/>
  <c r="N95" i="1"/>
  <c r="P95" i="1" s="1"/>
  <c r="J97" i="1"/>
  <c r="N97" i="1"/>
  <c r="P97" i="1" s="1"/>
  <c r="J98" i="1"/>
  <c r="N98" i="1"/>
  <c r="P98" i="1" s="1"/>
  <c r="J100" i="1"/>
  <c r="J101" i="1"/>
  <c r="N101" i="1"/>
  <c r="P101" i="1" s="1"/>
  <c r="J102" i="1"/>
  <c r="N102" i="1"/>
  <c r="P102" i="1" s="1"/>
  <c r="J103" i="1"/>
  <c r="N103" i="1"/>
  <c r="P103" i="1" s="1"/>
  <c r="J104" i="1"/>
  <c r="J105" i="1"/>
  <c r="N105" i="1"/>
  <c r="P105" i="1" s="1"/>
  <c r="J106" i="1"/>
  <c r="N106" i="1"/>
  <c r="P106" i="1" s="1"/>
  <c r="J107" i="1"/>
  <c r="N107" i="1"/>
  <c r="P107" i="1" s="1"/>
  <c r="J108" i="1"/>
  <c r="N108" i="1"/>
  <c r="P108" i="1" s="1"/>
  <c r="J109" i="1"/>
  <c r="N109" i="1"/>
  <c r="P109" i="1" s="1"/>
  <c r="J111" i="1"/>
  <c r="N111" i="1"/>
  <c r="P111" i="1" s="1"/>
  <c r="J112" i="1"/>
  <c r="N112" i="1"/>
  <c r="P112" i="1" s="1"/>
  <c r="J113" i="1"/>
  <c r="N113" i="1"/>
  <c r="P113" i="1" s="1"/>
  <c r="J115" i="1"/>
  <c r="N115" i="1"/>
  <c r="P115" i="1" s="1"/>
  <c r="J116" i="1"/>
  <c r="N116" i="1"/>
  <c r="P116" i="1" s="1"/>
  <c r="J120" i="1"/>
  <c r="N120" i="1"/>
  <c r="P120" i="1" s="1"/>
  <c r="J121" i="1"/>
  <c r="N121" i="1"/>
  <c r="P121" i="1" s="1"/>
  <c r="J122" i="1"/>
  <c r="N122" i="1"/>
  <c r="P122" i="1" s="1"/>
  <c r="J123" i="1"/>
  <c r="N123" i="1"/>
  <c r="P123" i="1" s="1"/>
  <c r="J125" i="1"/>
  <c r="N125" i="1"/>
  <c r="P125" i="1" s="1"/>
  <c r="J126" i="1"/>
  <c r="N126" i="1"/>
  <c r="P126" i="1" s="1"/>
  <c r="J128" i="1"/>
  <c r="N128" i="1"/>
  <c r="P128" i="1" s="1"/>
  <c r="J129" i="1"/>
  <c r="J130" i="1"/>
  <c r="N130" i="1"/>
  <c r="P130" i="1" s="1"/>
  <c r="J132" i="1"/>
  <c r="N132" i="1"/>
  <c r="P132" i="1" s="1"/>
  <c r="J133" i="1"/>
  <c r="N133" i="1"/>
  <c r="P133" i="1" s="1"/>
  <c r="J135" i="1"/>
  <c r="J136" i="1"/>
  <c r="J137" i="1"/>
  <c r="N137" i="1"/>
  <c r="P137" i="1" s="1"/>
  <c r="J138" i="1"/>
  <c r="N138" i="1"/>
  <c r="P138" i="1" s="1"/>
  <c r="J140" i="1"/>
  <c r="N140" i="1"/>
  <c r="P140" i="1" s="1"/>
  <c r="J141" i="1"/>
  <c r="N141" i="1"/>
  <c r="P141" i="1" s="1"/>
  <c r="J142" i="1"/>
  <c r="N142" i="1"/>
  <c r="P142" i="1" s="1"/>
  <c r="J144" i="1"/>
  <c r="N144" i="1"/>
  <c r="P144" i="1" s="1"/>
  <c r="J145" i="1"/>
  <c r="J146" i="1"/>
  <c r="N146" i="1"/>
  <c r="P146" i="1" s="1"/>
  <c r="J147" i="1"/>
  <c r="N147" i="1"/>
  <c r="P147" i="1" s="1"/>
  <c r="J148" i="1"/>
  <c r="N148" i="1"/>
  <c r="P148" i="1" s="1"/>
  <c r="J150" i="1"/>
  <c r="N150" i="1"/>
  <c r="P150" i="1" s="1"/>
  <c r="J151" i="1"/>
  <c r="N151" i="1"/>
  <c r="P151" i="1" s="1"/>
  <c r="J152" i="1"/>
  <c r="N152" i="1"/>
  <c r="P152" i="1" s="1"/>
  <c r="J153" i="1"/>
  <c r="N153" i="1"/>
  <c r="P153" i="1" s="1"/>
  <c r="J154" i="1"/>
  <c r="J155" i="1"/>
  <c r="J157" i="1"/>
  <c r="J158" i="1"/>
  <c r="N158" i="1"/>
  <c r="P158" i="1" s="1"/>
  <c r="J161" i="1"/>
  <c r="J162" i="1"/>
  <c r="J164" i="1"/>
  <c r="J165" i="1"/>
  <c r="N165" i="1"/>
  <c r="P165" i="1" s="1"/>
  <c r="J166" i="1"/>
  <c r="N166" i="1"/>
  <c r="P166" i="1" s="1"/>
  <c r="J167" i="1"/>
  <c r="N167" i="1"/>
  <c r="P167" i="1" s="1"/>
  <c r="J169" i="1"/>
  <c r="N169" i="1"/>
  <c r="P169" i="1" s="1"/>
  <c r="J170" i="1"/>
  <c r="N170" i="1"/>
  <c r="P170" i="1" s="1"/>
  <c r="J179" i="1"/>
  <c r="J184" i="1"/>
  <c r="J742" i="1"/>
  <c r="J755" i="1"/>
  <c r="J766" i="1"/>
  <c r="N17" i="1"/>
  <c r="P17" i="1" s="1"/>
  <c r="N39" i="1"/>
  <c r="P39" i="1" s="1"/>
  <c r="N46" i="1"/>
  <c r="P46" i="1" s="1"/>
  <c r="J760" i="1"/>
  <c r="N760" i="1"/>
  <c r="P760" i="1" s="1"/>
  <c r="J762" i="1"/>
  <c r="N762" i="1" s="1"/>
  <c r="P762" i="1" s="1"/>
  <c r="J767" i="1"/>
  <c r="N767" i="1"/>
  <c r="P767" i="1" s="1"/>
  <c r="P781" i="1"/>
  <c r="J787" i="1"/>
  <c r="P790" i="1"/>
  <c r="P793" i="1"/>
  <c r="J799" i="1"/>
  <c r="P800" i="1"/>
  <c r="J801" i="1"/>
  <c r="J741" i="1"/>
  <c r="N743" i="1"/>
  <c r="P743" i="1" s="1"/>
  <c r="J745" i="1"/>
  <c r="N746" i="1"/>
  <c r="P746" i="1" s="1"/>
  <c r="J748" i="1"/>
  <c r="N748" i="1"/>
  <c r="P748" i="1" s="1"/>
  <c r="J750" i="1"/>
  <c r="N751" i="1"/>
  <c r="P751" i="1" s="1"/>
  <c r="J754" i="1"/>
  <c r="N756" i="1"/>
  <c r="P756" i="1" s="1"/>
  <c r="N776" i="1"/>
  <c r="P776" i="1" s="1"/>
  <c r="N669" i="1"/>
  <c r="P669" i="1" s="1"/>
  <c r="J761" i="1"/>
  <c r="N13" i="1"/>
  <c r="P13" i="1" s="1"/>
  <c r="N28" i="1"/>
  <c r="P28" i="1" s="1"/>
  <c r="N55" i="1"/>
  <c r="P55" i="1" s="1"/>
  <c r="N56" i="1"/>
  <c r="P56" i="1" s="1"/>
  <c r="N73" i="1"/>
  <c r="P73" i="1" s="1"/>
  <c r="N76" i="1"/>
  <c r="P76" i="1" s="1"/>
  <c r="N77" i="1"/>
  <c r="P77" i="1" s="1"/>
  <c r="J555" i="1"/>
  <c r="N555" i="1"/>
  <c r="P555" i="1" s="1"/>
  <c r="N667" i="1"/>
  <c r="P667" i="1" s="1"/>
  <c r="N683" i="1"/>
  <c r="P683" i="1" s="1"/>
  <c r="N778" i="1"/>
  <c r="N801" i="1"/>
  <c r="P801" i="1" s="1"/>
  <c r="N61" i="1"/>
  <c r="P61" i="1" s="1"/>
  <c r="J653" i="1"/>
  <c r="J671" i="1"/>
  <c r="N671" i="1"/>
  <c r="P671" i="1" s="1"/>
  <c r="J676" i="1"/>
  <c r="J753" i="1"/>
  <c r="J206" i="1"/>
  <c r="J752" i="1"/>
  <c r="J769" i="1"/>
  <c r="J405" i="1"/>
  <c r="J631" i="1"/>
  <c r="J634" i="1"/>
  <c r="J635" i="1"/>
  <c r="J640" i="1"/>
  <c r="J647" i="1"/>
  <c r="J648" i="1"/>
  <c r="J650" i="1"/>
  <c r="J651" i="1"/>
  <c r="J652" i="1"/>
  <c r="J655" i="1"/>
  <c r="J666" i="1"/>
  <c r="J668" i="1"/>
  <c r="J677" i="1"/>
  <c r="J686" i="1"/>
  <c r="J687" i="1"/>
  <c r="J688" i="1"/>
  <c r="J689" i="1"/>
  <c r="J693" i="1"/>
  <c r="J694" i="1"/>
  <c r="J695" i="1"/>
  <c r="J696" i="1"/>
  <c r="J697" i="1"/>
  <c r="J706" i="1"/>
  <c r="J707" i="1"/>
  <c r="J711" i="1"/>
  <c r="J715" i="1"/>
  <c r="N715" i="1"/>
  <c r="P715" i="1" s="1"/>
  <c r="J719" i="1"/>
  <c r="J729" i="1"/>
  <c r="N729" i="1"/>
  <c r="P729" i="1" s="1"/>
  <c r="J730" i="1"/>
  <c r="J734" i="1"/>
  <c r="J744" i="1"/>
  <c r="J749" i="1"/>
  <c r="J764" i="1"/>
  <c r="J765" i="1"/>
  <c r="J768" i="1"/>
  <c r="J771" i="1"/>
  <c r="J773" i="1"/>
  <c r="J774" i="1"/>
  <c r="J775" i="1"/>
  <c r="J777" i="1"/>
  <c r="J782" i="1"/>
  <c r="J784" i="1"/>
  <c r="J785" i="1"/>
  <c r="J788" i="1"/>
  <c r="N788" i="1"/>
  <c r="P788" i="1" s="1"/>
  <c r="J796" i="1"/>
  <c r="J797" i="1"/>
  <c r="N797" i="1"/>
  <c r="P797" i="1" s="1"/>
  <c r="N201" i="1"/>
  <c r="P201" i="1" s="1"/>
  <c r="N284" i="1"/>
  <c r="P284" i="1" s="1"/>
  <c r="N285" i="1"/>
  <c r="P285" i="1" s="1"/>
  <c r="N289" i="1"/>
  <c r="P289" i="1" s="1"/>
  <c r="N321" i="1"/>
  <c r="P321" i="1" s="1"/>
  <c r="N344" i="1"/>
  <c r="P344" i="1" s="1"/>
  <c r="N362" i="1"/>
  <c r="P362" i="1" s="1"/>
  <c r="N380" i="1"/>
  <c r="P380" i="1" s="1"/>
  <c r="N446" i="1"/>
  <c r="P446" i="1" s="1"/>
  <c r="N453" i="1"/>
  <c r="P453" i="1" s="1"/>
  <c r="N454" i="1"/>
  <c r="P454" i="1" s="1"/>
  <c r="N636" i="1"/>
  <c r="P636" i="1" s="1"/>
  <c r="N641" i="1"/>
  <c r="P641" i="1" s="1"/>
  <c r="N645" i="1"/>
  <c r="P645" i="1" s="1"/>
  <c r="N649" i="1"/>
  <c r="P649" i="1" s="1"/>
  <c r="N654" i="1"/>
  <c r="P654" i="1" s="1"/>
  <c r="N656" i="1"/>
  <c r="P656" i="1" s="1"/>
  <c r="N659" i="1"/>
  <c r="P659" i="1" s="1"/>
  <c r="N672" i="1"/>
  <c r="P672" i="1" s="1"/>
  <c r="N673" i="1"/>
  <c r="P673" i="1" s="1"/>
  <c r="N678" i="1"/>
  <c r="P678" i="1" s="1"/>
  <c r="N690" i="1"/>
  <c r="P690" i="1" s="1"/>
  <c r="N698" i="1"/>
  <c r="P698" i="1" s="1"/>
  <c r="N708" i="1"/>
  <c r="P708" i="1" s="1"/>
  <c r="N713" i="1"/>
  <c r="P713" i="1" s="1"/>
  <c r="N714" i="1"/>
  <c r="P714" i="1" s="1"/>
  <c r="N716" i="1"/>
  <c r="P716" i="1" s="1"/>
  <c r="N727" i="1"/>
  <c r="P727" i="1" s="1"/>
  <c r="N731" i="1"/>
  <c r="P731" i="1" s="1"/>
  <c r="N735" i="1"/>
  <c r="P735" i="1" s="1"/>
  <c r="N740" i="1"/>
  <c r="P740" i="1" s="1"/>
  <c r="N757" i="1"/>
  <c r="P757" i="1" s="1"/>
  <c r="N783" i="1"/>
  <c r="P783" i="1" s="1"/>
  <c r="N786" i="1"/>
  <c r="P786" i="1" s="1"/>
  <c r="N789" i="1"/>
  <c r="P789" i="1" s="1"/>
  <c r="N794" i="1"/>
  <c r="P794" i="1" s="1"/>
  <c r="N795" i="1"/>
  <c r="P795" i="1" s="1"/>
  <c r="N255" i="1"/>
  <c r="P255" i="1" s="1"/>
  <c r="N258" i="1"/>
  <c r="P258" i="1" s="1"/>
  <c r="N271" i="1"/>
  <c r="P271" i="1" s="1"/>
  <c r="N282" i="1"/>
  <c r="P282" i="1" s="1"/>
  <c r="N290" i="1"/>
  <c r="P290" i="1" s="1"/>
  <c r="N300" i="1"/>
  <c r="P300" i="1" s="1"/>
  <c r="N306" i="1"/>
  <c r="P306" i="1" s="1"/>
  <c r="N307" i="1"/>
  <c r="P307" i="1" s="1"/>
  <c r="N308" i="1"/>
  <c r="P308" i="1" s="1"/>
  <c r="N309" i="1"/>
  <c r="P309" i="1" s="1"/>
  <c r="N310" i="1"/>
  <c r="P310" i="1" s="1"/>
  <c r="N316" i="1"/>
  <c r="P316" i="1" s="1"/>
  <c r="N325" i="1"/>
  <c r="P325" i="1" s="1"/>
  <c r="N331" i="1"/>
  <c r="P331" i="1" s="1"/>
  <c r="N333" i="1"/>
  <c r="P333" i="1" s="1"/>
  <c r="N336" i="1"/>
  <c r="P336" i="1" s="1"/>
  <c r="N350" i="1"/>
  <c r="P350" i="1" s="1"/>
  <c r="N353" i="1"/>
  <c r="P353" i="1" s="1"/>
  <c r="N370" i="1"/>
  <c r="P370" i="1" s="1"/>
  <c r="N371" i="1"/>
  <c r="P371" i="1" s="1"/>
  <c r="N417" i="1"/>
  <c r="P417" i="1" s="1"/>
  <c r="N418" i="1"/>
  <c r="P418" i="1" s="1"/>
  <c r="N423" i="1"/>
  <c r="P423" i="1" s="1"/>
  <c r="N427" i="1"/>
  <c r="P427" i="1" s="1"/>
  <c r="N428" i="1"/>
  <c r="P428" i="1" s="1"/>
  <c r="N434" i="1"/>
  <c r="P434" i="1" s="1"/>
  <c r="N435" i="1"/>
  <c r="P435" i="1" s="1"/>
  <c r="N436" i="1"/>
  <c r="P436" i="1" s="1"/>
  <c r="N443" i="1"/>
  <c r="P443" i="1" s="1"/>
  <c r="N445" i="1"/>
  <c r="P445" i="1" s="1"/>
  <c r="N448" i="1"/>
  <c r="P448" i="1" s="1"/>
  <c r="N449" i="1"/>
  <c r="P449" i="1" s="1"/>
  <c r="N451" i="1"/>
  <c r="P451" i="1" s="1"/>
  <c r="N461" i="1"/>
  <c r="P461" i="1" s="1"/>
  <c r="N472" i="1"/>
  <c r="P472" i="1" s="1"/>
  <c r="N473" i="1"/>
  <c r="P473" i="1" s="1"/>
  <c r="N476" i="1"/>
  <c r="P476" i="1" s="1"/>
  <c r="N477" i="1"/>
  <c r="P477" i="1" s="1"/>
  <c r="N480" i="1"/>
  <c r="P480" i="1" s="1"/>
  <c r="N481" i="1"/>
  <c r="P481" i="1" s="1"/>
  <c r="N488" i="1"/>
  <c r="P488" i="1" s="1"/>
  <c r="J747" i="1"/>
  <c r="N747" i="1"/>
  <c r="P747" i="1" s="1"/>
  <c r="N758" i="1"/>
  <c r="P758" i="1" s="1"/>
  <c r="J772" i="1"/>
  <c r="N772" i="1"/>
  <c r="P772" i="1" s="1"/>
  <c r="N387" i="1"/>
  <c r="P387" i="1" s="1"/>
  <c r="N388" i="1"/>
  <c r="P388" i="1" s="1"/>
  <c r="N257" i="1"/>
  <c r="P257" i="1" s="1"/>
  <c r="N263" i="1"/>
  <c r="P263" i="1" s="1"/>
  <c r="N275" i="1"/>
  <c r="P275" i="1" s="1"/>
  <c r="N276" i="1"/>
  <c r="P276" i="1" s="1"/>
  <c r="N298" i="1"/>
  <c r="P298" i="1" s="1"/>
  <c r="N319" i="1"/>
  <c r="P319" i="1" s="1"/>
  <c r="N322" i="1"/>
  <c r="P322" i="1" s="1"/>
  <c r="N323" i="1"/>
  <c r="P323" i="1" s="1"/>
  <c r="N324" i="1"/>
  <c r="P324" i="1" s="1"/>
  <c r="N334" i="1"/>
  <c r="P334" i="1" s="1"/>
  <c r="N337" i="1"/>
  <c r="P337" i="1" s="1"/>
  <c r="N339" i="1"/>
  <c r="P339" i="1" s="1"/>
  <c r="N378" i="1"/>
  <c r="P378" i="1" s="1"/>
  <c r="N406" i="1"/>
  <c r="P406" i="1" s="1"/>
  <c r="N432" i="1"/>
  <c r="P432" i="1" s="1"/>
  <c r="N458" i="1"/>
  <c r="P458" i="1" s="1"/>
  <c r="N460" i="1"/>
  <c r="P460" i="1" s="1"/>
  <c r="N462" i="1"/>
  <c r="P462" i="1" s="1"/>
  <c r="N465" i="1"/>
  <c r="P465" i="1" s="1"/>
  <c r="N474" i="1"/>
  <c r="P474" i="1" s="1"/>
  <c r="N475" i="1"/>
  <c r="P475" i="1" s="1"/>
  <c r="N483" i="1"/>
  <c r="P483" i="1" s="1"/>
  <c r="N484" i="1"/>
  <c r="P484" i="1" s="1"/>
  <c r="Q2" i="1"/>
  <c r="Q3" i="1"/>
  <c r="Q5" i="1"/>
  <c r="Q6" i="1"/>
  <c r="Q8" i="1"/>
  <c r="Q20" i="1"/>
  <c r="N796" i="1" l="1"/>
  <c r="P796" i="1" s="1"/>
  <c r="N574" i="1"/>
  <c r="P574" i="1" s="1"/>
  <c r="N575" i="1"/>
  <c r="P575" i="1" s="1"/>
  <c r="N583" i="1"/>
  <c r="P583" i="1" s="1"/>
  <c r="N584" i="1"/>
  <c r="P584" i="1" s="1"/>
  <c r="N592" i="1"/>
  <c r="P592" i="1" s="1"/>
  <c r="N191" i="1"/>
  <c r="P191" i="1" s="1"/>
  <c r="N192" i="1"/>
  <c r="P192" i="1" s="1"/>
  <c r="N193" i="1"/>
  <c r="P193" i="1" s="1"/>
  <c r="N197" i="1"/>
  <c r="P197" i="1" s="1"/>
  <c r="N202" i="1"/>
  <c r="P202" i="1" s="1"/>
  <c r="N203" i="1"/>
  <c r="P203" i="1" s="1"/>
  <c r="N456" i="1"/>
  <c r="P456" i="1" s="1"/>
  <c r="N512" i="1"/>
  <c r="P512" i="1" s="1"/>
  <c r="N607" i="1"/>
  <c r="P607" i="1" s="1"/>
  <c r="N482" i="1"/>
  <c r="P482" i="1" s="1"/>
  <c r="N490" i="1"/>
  <c r="P490" i="1" s="1"/>
  <c r="N501" i="1"/>
  <c r="P501" i="1" s="1"/>
  <c r="N504" i="1"/>
  <c r="P504" i="1" s="1"/>
  <c r="N509" i="1"/>
  <c r="P509" i="1" s="1"/>
  <c r="N522" i="1"/>
  <c r="P522" i="1" s="1"/>
  <c r="N613" i="1"/>
  <c r="P613" i="1" s="1"/>
  <c r="N647" i="1"/>
  <c r="P647" i="1" s="1"/>
  <c r="N597" i="1"/>
  <c r="P597" i="1" s="1"/>
  <c r="N614" i="1"/>
  <c r="P614" i="1" s="1"/>
  <c r="N625" i="1"/>
  <c r="P625" i="1" s="1"/>
  <c r="N628" i="1"/>
  <c r="P628" i="1" s="1"/>
  <c r="N644" i="1"/>
  <c r="P644" i="1" s="1"/>
  <c r="N185" i="1"/>
  <c r="P185" i="1" s="1"/>
  <c r="J386" i="1"/>
  <c r="N386" i="1"/>
  <c r="P386" i="1" s="1"/>
  <c r="J214" i="1"/>
  <c r="N214" i="1"/>
  <c r="P214" i="1" s="1"/>
  <c r="N379" i="1"/>
  <c r="P379" i="1" s="1"/>
  <c r="N409" i="1"/>
  <c r="P409" i="1" s="1"/>
  <c r="N420" i="1"/>
  <c r="P420" i="1" s="1"/>
  <c r="N763" i="1"/>
  <c r="P763" i="1" s="1"/>
  <c r="N415" i="1"/>
  <c r="P415" i="1" s="1"/>
  <c r="N426" i="1"/>
  <c r="P426" i="1" s="1"/>
  <c r="N452" i="1"/>
  <c r="P452" i="1" s="1"/>
  <c r="N508" i="1"/>
  <c r="P508" i="1" s="1"/>
  <c r="N532" i="1"/>
  <c r="P532" i="1" s="1"/>
  <c r="N534" i="1"/>
  <c r="P534" i="1" s="1"/>
  <c r="N136" i="1"/>
  <c r="P136" i="1" s="1"/>
  <c r="N524" i="1"/>
  <c r="P524" i="1" s="1"/>
  <c r="N528" i="1"/>
  <c r="P528" i="1" s="1"/>
  <c r="N529" i="1"/>
  <c r="P529" i="1" s="1"/>
  <c r="N531" i="1"/>
  <c r="P531" i="1" s="1"/>
  <c r="N538" i="1"/>
  <c r="P538" i="1" s="1"/>
  <c r="N549" i="1"/>
  <c r="P549" i="1" s="1"/>
  <c r="N563" i="1"/>
  <c r="P563" i="1" s="1"/>
  <c r="N577" i="1"/>
  <c r="P577" i="1" s="1"/>
  <c r="N503" i="1"/>
  <c r="P503" i="1" s="1"/>
  <c r="N587" i="1"/>
  <c r="P587" i="1" s="1"/>
  <c r="N593" i="1"/>
  <c r="P593" i="1" s="1"/>
  <c r="N603" i="1"/>
  <c r="P603" i="1" s="1"/>
  <c r="N605" i="1"/>
  <c r="P605" i="1" s="1"/>
  <c r="P712" i="1"/>
  <c r="P717" i="1"/>
  <c r="P724" i="1"/>
  <c r="P726" i="1"/>
  <c r="P728" i="1"/>
  <c r="P791" i="1"/>
  <c r="N492" i="1"/>
  <c r="P492" i="1" s="1"/>
  <c r="P699" i="1"/>
  <c r="P701" i="1"/>
  <c r="P703" i="1"/>
  <c r="P718" i="1"/>
  <c r="P722" i="1"/>
  <c r="N595" i="1"/>
  <c r="P595" i="1" s="1"/>
  <c r="P732" i="1"/>
  <c r="P736" i="1"/>
  <c r="P780" i="1"/>
  <c r="P798" i="1"/>
  <c r="N441" i="1"/>
  <c r="P441" i="1" s="1"/>
  <c r="N442" i="1"/>
  <c r="P442" i="1" s="1"/>
  <c r="N463" i="1"/>
  <c r="P463" i="1" s="1"/>
  <c r="N464" i="1"/>
  <c r="P464" i="1" s="1"/>
  <c r="N489" i="1"/>
  <c r="P489" i="1" s="1"/>
  <c r="N497" i="1"/>
  <c r="P497" i="1" s="1"/>
  <c r="N498" i="1"/>
  <c r="P498" i="1" s="1"/>
  <c r="N499" i="1"/>
  <c r="P499" i="1" s="1"/>
  <c r="N507" i="1"/>
  <c r="P507" i="1" s="1"/>
  <c r="N513" i="1"/>
  <c r="P513" i="1" s="1"/>
  <c r="N537" i="1"/>
  <c r="P537" i="1" s="1"/>
  <c r="N558" i="1"/>
  <c r="P558" i="1" s="1"/>
  <c r="N561" i="1"/>
  <c r="P561" i="1" s="1"/>
  <c r="N467" i="1"/>
  <c r="P467" i="1" s="1"/>
  <c r="N485" i="1"/>
  <c r="P485" i="1" s="1"/>
  <c r="N520" i="1"/>
  <c r="P520" i="1" s="1"/>
  <c r="N526" i="1"/>
  <c r="P526" i="1" s="1"/>
  <c r="N556" i="1"/>
  <c r="P556" i="1" s="1"/>
  <c r="N496" i="1"/>
  <c r="P496" i="1" s="1"/>
  <c r="N505" i="1"/>
  <c r="P505" i="1" s="1"/>
  <c r="N516" i="1"/>
  <c r="P516" i="1" s="1"/>
  <c r="N517" i="1"/>
  <c r="P517" i="1" s="1"/>
  <c r="N523" i="1"/>
  <c r="P523" i="1" s="1"/>
  <c r="N525" i="1"/>
  <c r="P525" i="1" s="1"/>
  <c r="N540" i="1"/>
  <c r="P540" i="1" s="1"/>
  <c r="N541" i="1"/>
  <c r="P541" i="1" s="1"/>
  <c r="N569" i="1"/>
  <c r="P569" i="1" s="1"/>
  <c r="N576" i="1"/>
  <c r="P576" i="1" s="1"/>
  <c r="N582" i="1"/>
  <c r="P582" i="1" s="1"/>
  <c r="P691" i="1"/>
  <c r="N437" i="1"/>
  <c r="P437" i="1" s="1"/>
  <c r="N588" i="1"/>
  <c r="P588" i="1" s="1"/>
  <c r="N594" i="1"/>
  <c r="P594" i="1" s="1"/>
  <c r="N407" i="1"/>
  <c r="P407" i="1" s="1"/>
  <c r="N410" i="1"/>
  <c r="P410" i="1" s="1"/>
  <c r="N421" i="1"/>
  <c r="P421" i="1" s="1"/>
  <c r="N450" i="1"/>
  <c r="P450" i="1" s="1"/>
  <c r="N374" i="1"/>
  <c r="P374" i="1" s="1"/>
  <c r="N413" i="1"/>
  <c r="P413" i="1" s="1"/>
  <c r="N438" i="1"/>
  <c r="P438" i="1" s="1"/>
  <c r="N439" i="1"/>
  <c r="P439" i="1" s="1"/>
  <c r="N468" i="1"/>
  <c r="P468" i="1" s="1"/>
  <c r="N469" i="1"/>
  <c r="P469" i="1" s="1"/>
  <c r="N470" i="1"/>
  <c r="P470" i="1" s="1"/>
  <c r="N471" i="1"/>
  <c r="P471" i="1" s="1"/>
  <c r="N478" i="1"/>
  <c r="P478" i="1" s="1"/>
  <c r="N479" i="1"/>
  <c r="P479" i="1" s="1"/>
  <c r="N486" i="1"/>
  <c r="P486" i="1" s="1"/>
  <c r="N487" i="1"/>
  <c r="P487" i="1" s="1"/>
  <c r="N493" i="1"/>
  <c r="P493" i="1" s="1"/>
  <c r="N494" i="1"/>
  <c r="P494" i="1" s="1"/>
  <c r="N495" i="1"/>
  <c r="P495" i="1" s="1"/>
  <c r="N511" i="1"/>
  <c r="P511" i="1" s="1"/>
  <c r="N515" i="1"/>
  <c r="P515" i="1" s="1"/>
  <c r="N518" i="1"/>
  <c r="P518" i="1" s="1"/>
  <c r="N527" i="1"/>
  <c r="P527" i="1" s="1"/>
  <c r="N530" i="1"/>
  <c r="P530" i="1" s="1"/>
  <c r="N535" i="1"/>
  <c r="P535" i="1" s="1"/>
  <c r="N539" i="1"/>
  <c r="P539" i="1" s="1"/>
  <c r="N550" i="1"/>
  <c r="P550" i="1" s="1"/>
  <c r="N562" i="1"/>
  <c r="P562" i="1" s="1"/>
  <c r="N564" i="1"/>
  <c r="P564" i="1" s="1"/>
  <c r="N567" i="1"/>
  <c r="P567" i="1" s="1"/>
  <c r="N568" i="1"/>
  <c r="P568" i="1" s="1"/>
  <c r="N570" i="1"/>
  <c r="P570" i="1" s="1"/>
  <c r="N579" i="1"/>
  <c r="P579" i="1" s="1"/>
  <c r="N589" i="1"/>
  <c r="P589" i="1" s="1"/>
  <c r="N599" i="1"/>
  <c r="P599" i="1" s="1"/>
  <c r="N391" i="1"/>
  <c r="P391" i="1" s="1"/>
  <c r="N457" i="1"/>
  <c r="P457" i="1" s="1"/>
  <c r="N491" i="1"/>
  <c r="P491" i="1" s="1"/>
  <c r="N519" i="1"/>
  <c r="P519" i="1" s="1"/>
  <c r="N533" i="1"/>
  <c r="P533" i="1" s="1"/>
  <c r="N622" i="1"/>
  <c r="P622" i="1" s="1"/>
  <c r="N384" i="1"/>
  <c r="P384" i="1" s="1"/>
  <c r="N385" i="1"/>
  <c r="P385" i="1" s="1"/>
  <c r="N383" i="1"/>
  <c r="P383" i="1" s="1"/>
  <c r="N770" i="1"/>
  <c r="P770" i="1" s="1"/>
  <c r="N506" i="1"/>
  <c r="P506" i="1" s="1"/>
  <c r="N557" i="1"/>
  <c r="P557" i="1" s="1"/>
  <c r="N393" i="1"/>
  <c r="P393" i="1" s="1"/>
  <c r="N414" i="1"/>
  <c r="P414" i="1" s="1"/>
  <c r="N419" i="1"/>
  <c r="P419" i="1" s="1"/>
  <c r="N466" i="1"/>
  <c r="P466" i="1" s="1"/>
  <c r="N408" i="1"/>
  <c r="P408" i="1" s="1"/>
  <c r="N411" i="1"/>
  <c r="P411" i="1" s="1"/>
  <c r="N416" i="1"/>
  <c r="P416" i="1" s="1"/>
  <c r="N422" i="1"/>
  <c r="P422" i="1" s="1"/>
  <c r="N429" i="1"/>
  <c r="P429" i="1" s="1"/>
  <c r="N440" i="1"/>
  <c r="P440" i="1" s="1"/>
  <c r="N459" i="1"/>
  <c r="P459" i="1" s="1"/>
  <c r="J618" i="1"/>
  <c r="N94" i="1"/>
  <c r="P94" i="1" s="1"/>
  <c r="N21" i="1"/>
  <c r="P21" i="1" s="1"/>
  <c r="N33" i="1"/>
  <c r="P33" i="1" s="1"/>
  <c r="N62" i="1"/>
  <c r="P62" i="1" s="1"/>
  <c r="N64" i="1"/>
  <c r="P64" i="1" s="1"/>
  <c r="N779" i="1"/>
  <c r="P779" i="1" s="1"/>
  <c r="N372" i="1"/>
  <c r="P372" i="1" s="1"/>
  <c r="N93" i="1"/>
  <c r="P93" i="1" s="1"/>
  <c r="N57" i="1"/>
  <c r="P57" i="1" s="1"/>
  <c r="N745" i="1"/>
  <c r="P745" i="1" s="1"/>
  <c r="N655" i="1"/>
  <c r="P655" i="1" s="1"/>
  <c r="N711" i="1"/>
  <c r="P711" i="1" s="1"/>
  <c r="N734" i="1"/>
  <c r="P734" i="1" s="1"/>
  <c r="P705" i="1"/>
  <c r="N799" i="1"/>
  <c r="P799" i="1" s="1"/>
  <c r="N74" i="1"/>
  <c r="P74" i="1" s="1"/>
  <c r="N154" i="1"/>
  <c r="P154" i="1" s="1"/>
  <c r="N157" i="1"/>
  <c r="P157" i="1" s="1"/>
  <c r="N741" i="1"/>
  <c r="P741" i="1" s="1"/>
  <c r="N676" i="1"/>
  <c r="P676" i="1" s="1"/>
  <c r="N686" i="1"/>
  <c r="P686" i="1" s="1"/>
  <c r="N100" i="1"/>
  <c r="P100" i="1" s="1"/>
  <c r="N104" i="1"/>
  <c r="P104" i="1" s="1"/>
  <c r="N129" i="1"/>
  <c r="P129" i="1" s="1"/>
  <c r="N161" i="1"/>
  <c r="P161" i="1" s="1"/>
  <c r="N162" i="1"/>
  <c r="P162" i="1" s="1"/>
  <c r="N179" i="1"/>
  <c r="P179" i="1" s="1"/>
  <c r="N184" i="1"/>
  <c r="P184" i="1" s="1"/>
  <c r="N668" i="1"/>
  <c r="P668" i="1" s="1"/>
  <c r="N86" i="1"/>
  <c r="P86" i="1" s="1"/>
  <c r="N145" i="1"/>
  <c r="P145" i="1" s="1"/>
  <c r="N155" i="1"/>
  <c r="P155" i="1" s="1"/>
  <c r="N164" i="1"/>
  <c r="P164" i="1" s="1"/>
  <c r="N742" i="1"/>
  <c r="P742" i="1" s="1"/>
  <c r="N650" i="1"/>
  <c r="P650" i="1" s="1"/>
  <c r="N666" i="1"/>
  <c r="P666" i="1" s="1"/>
  <c r="N693" i="1"/>
  <c r="P693" i="1" s="1"/>
  <c r="N706" i="1"/>
  <c r="P706" i="1" s="1"/>
  <c r="N766" i="1"/>
  <c r="P766" i="1" s="1"/>
  <c r="N19" i="1"/>
  <c r="P19" i="1" s="1"/>
  <c r="N22" i="1"/>
  <c r="P22" i="1" s="1"/>
  <c r="N30" i="1"/>
  <c r="P30" i="1" s="1"/>
  <c r="N34" i="1"/>
  <c r="P34" i="1" s="1"/>
  <c r="N36" i="1"/>
  <c r="P36" i="1" s="1"/>
  <c r="N37" i="1"/>
  <c r="P37" i="1" s="1"/>
  <c r="N40" i="1"/>
  <c r="P40" i="1" s="1"/>
  <c r="N54" i="1"/>
  <c r="P54" i="1" s="1"/>
  <c r="N59" i="1"/>
  <c r="P59" i="1" s="1"/>
  <c r="N65" i="1"/>
  <c r="P65" i="1" s="1"/>
  <c r="N71" i="1"/>
  <c r="P71" i="1" s="1"/>
  <c r="N755" i="1"/>
  <c r="P755" i="1" s="1"/>
  <c r="N78" i="1"/>
  <c r="P78" i="1" s="1"/>
  <c r="N81" i="1"/>
  <c r="P81" i="1" s="1"/>
  <c r="N83" i="1"/>
  <c r="P83" i="1" s="1"/>
  <c r="N761" i="1"/>
  <c r="P761" i="1" s="1"/>
  <c r="N773" i="1"/>
  <c r="P773" i="1" s="1"/>
  <c r="N787" i="1"/>
  <c r="P787" i="1" s="1"/>
  <c r="N754" i="1"/>
  <c r="P754" i="1" s="1"/>
  <c r="P778" i="1"/>
  <c r="N750" i="1"/>
  <c r="P750" i="1" s="1"/>
  <c r="N135" i="1"/>
  <c r="P135" i="1" s="1"/>
  <c r="N653" i="1"/>
  <c r="P653" i="1" s="1"/>
  <c r="N753" i="1"/>
  <c r="P753" i="1" s="1"/>
  <c r="N206" i="1"/>
  <c r="P206" i="1" s="1"/>
  <c r="N752" i="1"/>
  <c r="P752" i="1" s="1"/>
  <c r="N769" i="1"/>
  <c r="P769" i="1" s="1"/>
  <c r="N405" i="1"/>
  <c r="P405" i="1" s="1"/>
  <c r="N631" i="1"/>
  <c r="P631" i="1" s="1"/>
  <c r="N634" i="1"/>
  <c r="P634" i="1" s="1"/>
  <c r="N635" i="1"/>
  <c r="P635" i="1" s="1"/>
  <c r="N640" i="1"/>
  <c r="P640" i="1" s="1"/>
  <c r="N648" i="1"/>
  <c r="P648" i="1" s="1"/>
  <c r="N651" i="1"/>
  <c r="P651" i="1" s="1"/>
  <c r="N652" i="1"/>
  <c r="P652" i="1" s="1"/>
  <c r="N677" i="1"/>
  <c r="P677" i="1" s="1"/>
  <c r="N687" i="1"/>
  <c r="P687" i="1" s="1"/>
  <c r="N688" i="1"/>
  <c r="P688" i="1" s="1"/>
  <c r="N689" i="1"/>
  <c r="P689" i="1" s="1"/>
  <c r="N694" i="1"/>
  <c r="P694" i="1" s="1"/>
  <c r="N695" i="1"/>
  <c r="P695" i="1" s="1"/>
  <c r="N696" i="1"/>
  <c r="P696" i="1" s="1"/>
  <c r="N697" i="1"/>
  <c r="P697" i="1" s="1"/>
  <c r="N707" i="1"/>
  <c r="P707" i="1" s="1"/>
  <c r="N771" i="1"/>
  <c r="P771" i="1" s="1"/>
  <c r="N775" i="1"/>
  <c r="P775" i="1" s="1"/>
  <c r="N777" i="1"/>
  <c r="P777" i="1" s="1"/>
  <c r="N785" i="1"/>
  <c r="P785" i="1" s="1"/>
  <c r="N719" i="1"/>
  <c r="P719" i="1" s="1"/>
  <c r="N730" i="1"/>
  <c r="P730" i="1" s="1"/>
  <c r="N744" i="1"/>
  <c r="P744" i="1" s="1"/>
  <c r="N749" i="1"/>
  <c r="P749" i="1" s="1"/>
  <c r="N764" i="1"/>
  <c r="P764" i="1" s="1"/>
  <c r="N765" i="1"/>
  <c r="P765" i="1" s="1"/>
  <c r="N768" i="1"/>
  <c r="P768" i="1" s="1"/>
  <c r="N774" i="1"/>
  <c r="P774" i="1" s="1"/>
  <c r="N782" i="1"/>
  <c r="P782" i="1" s="1"/>
  <c r="N784" i="1"/>
  <c r="P784" i="1" s="1"/>
  <c r="J3" i="1"/>
  <c r="J5" i="1"/>
  <c r="J6" i="1"/>
  <c r="J8" i="1"/>
  <c r="J20" i="1"/>
  <c r="J2" i="1"/>
  <c r="N618" i="1" l="1"/>
  <c r="P618" i="1" s="1"/>
  <c r="N8" i="1"/>
  <c r="P8" i="1" s="1"/>
  <c r="N6" i="1"/>
  <c r="P6" i="1" s="1"/>
  <c r="N3" i="1"/>
  <c r="P3" i="1" s="1"/>
  <c r="N20" i="1"/>
  <c r="P20" i="1" s="1"/>
  <c r="N5" i="1"/>
  <c r="P5" i="1" s="1"/>
  <c r="N2" i="1"/>
  <c r="P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B8FA5A-6D5F-47E0-BD6B-07C152D055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6764A60-A1B3-4721-BA66-575D95003DAA}" name="WorksheetConnection_Sales_Dataset_800_Rows_Enhanced.xlsx!SALCE" type="102" refreshedVersion="8" minRefreshableVersion="5">
    <extLst>
      <ext xmlns:x15="http://schemas.microsoft.com/office/spreadsheetml/2010/11/main" uri="{DE250136-89BD-433C-8126-D09CA5730AF9}">
        <x15:connection id="SALCE" autoDelete="1">
          <x15:rangePr sourceName="_xlcn.WorksheetConnection_Sales_Dataset_800_Rows_Enhanced.xlsxSALCE"/>
        </x15:connection>
      </ext>
    </extLst>
  </connection>
</connections>
</file>

<file path=xl/sharedStrings.xml><?xml version="1.0" encoding="utf-8"?>
<sst xmlns="http://schemas.openxmlformats.org/spreadsheetml/2006/main" count="5690" uniqueCount="74">
  <si>
    <t>Order_ID</t>
  </si>
  <si>
    <t>Date</t>
  </si>
  <si>
    <t>Region</t>
  </si>
  <si>
    <t>Salesperson</t>
  </si>
  <si>
    <t>Product</t>
  </si>
  <si>
    <t>Category</t>
  </si>
  <si>
    <t>Quantity</t>
  </si>
  <si>
    <t>Unit_Price</t>
  </si>
  <si>
    <t>Discount_%</t>
  </si>
  <si>
    <t>Tax_%</t>
  </si>
  <si>
    <t>Gross_Sales</t>
  </si>
  <si>
    <t>Discount_Value</t>
  </si>
  <si>
    <t>Net_Sales</t>
  </si>
  <si>
    <t>Cost_Price</t>
  </si>
  <si>
    <t>Profit</t>
  </si>
  <si>
    <t>Payment_Method</t>
  </si>
  <si>
    <t>Customer_Type</t>
  </si>
  <si>
    <t>Alex</t>
  </si>
  <si>
    <t>Nour</t>
  </si>
  <si>
    <t>Mouse</t>
  </si>
  <si>
    <t>Accessories</t>
  </si>
  <si>
    <t>Cash</t>
  </si>
  <si>
    <t>Returning</t>
  </si>
  <si>
    <t>Giza</t>
  </si>
  <si>
    <t>Youssef</t>
  </si>
  <si>
    <t>Keyboard</t>
  </si>
  <si>
    <t>Visa</t>
  </si>
  <si>
    <t>New</t>
  </si>
  <si>
    <t>Tanta</t>
  </si>
  <si>
    <t>Ahmed</t>
  </si>
  <si>
    <t>Aswan</t>
  </si>
  <si>
    <t>Laptop</t>
  </si>
  <si>
    <t>Electronics</t>
  </si>
  <si>
    <t>Printer</t>
  </si>
  <si>
    <t>Monitor</t>
  </si>
  <si>
    <t>Mansoura</t>
  </si>
  <si>
    <t>Mona</t>
  </si>
  <si>
    <t>Wallet</t>
  </si>
  <si>
    <t>Sara</t>
  </si>
  <si>
    <t>Cairo</t>
  </si>
  <si>
    <t>Headset</t>
  </si>
  <si>
    <t>Omar</t>
  </si>
  <si>
    <t>After_Discount</t>
  </si>
  <si>
    <t>Tax_Value</t>
  </si>
  <si>
    <t>Customer</t>
  </si>
  <si>
    <t>Custmer</t>
  </si>
  <si>
    <t>القاهرة للانظمة الزكية</t>
  </si>
  <si>
    <t>الرواد للانظمة</t>
  </si>
  <si>
    <t>المصرية لتقنية المعلومات</t>
  </si>
  <si>
    <t>الدلتا للتكنولوجي</t>
  </si>
  <si>
    <t>النيل للحلول التقنية</t>
  </si>
  <si>
    <t>المتحدة للانظمة</t>
  </si>
  <si>
    <t>الامل للتجارة</t>
  </si>
  <si>
    <t>كيان للتطوير البرمجي</t>
  </si>
  <si>
    <t>مصر الحديثة للصناعات</t>
  </si>
  <si>
    <t>الخليج للاستيراد والتصدير</t>
  </si>
  <si>
    <t>النخبة للحاسبات</t>
  </si>
  <si>
    <t>اكادمية المستقبل</t>
  </si>
  <si>
    <t>الافق الرقمي</t>
  </si>
  <si>
    <t>الصفوة للحلول البرمجية</t>
  </si>
  <si>
    <t>الخليج للاستراد والتصدير</t>
  </si>
  <si>
    <t>القاهرة للاتظمة الزكية</t>
  </si>
  <si>
    <t>المصرية للتقنية المعلومات</t>
  </si>
  <si>
    <t>Row Labels</t>
  </si>
  <si>
    <t>Grand Total</t>
  </si>
  <si>
    <t>Sum of Unit_Price</t>
  </si>
  <si>
    <t>Sum of Gross_Sales</t>
  </si>
  <si>
    <t>Sum of Discount_%</t>
  </si>
  <si>
    <t>qunty of After_Discount</t>
  </si>
  <si>
    <t>Sum of Tax_Value</t>
  </si>
  <si>
    <t>Sum of Cost_Price</t>
  </si>
  <si>
    <t>Sum of Profit</t>
  </si>
  <si>
    <t>Column1</t>
  </si>
  <si>
    <t>Sum of Discount_Value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</si>
</sst>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EGP]\ * #,##0.0_);_([$EGP]\ * \(#,##0.0\);_([$EGP]\ * &quot;-&quot;?_);_(@_)"/>
    <numFmt numFmtId="165" formatCode="0.0%"/>
  </numFmts>
  <fonts count="8" x14ac:knownFonts="1">
    <font>
      <sz val="11"/>
      <color theme="1"/>
      <name val="Calibri"/>
      <family val="2"/>
      <scheme val="minor"/>
    </font>
    <font>
      <sz val="11"/>
      <color theme="1"/>
      <name val="Calibri"/>
      <family val="2"/>
      <scheme val="minor"/>
    </font>
    <font>
      <sz val="8"/>
      <name val="Calibri"/>
      <family val="2"/>
      <scheme val="minor"/>
    </font>
    <font>
      <sz val="16"/>
      <color theme="0"/>
      <name val="Calibri"/>
      <family val="2"/>
      <scheme val="minor"/>
    </font>
    <font>
      <b/>
      <sz val="16"/>
      <color theme="0"/>
      <name val="Calibri"/>
      <family val="2"/>
      <scheme val="minor"/>
    </font>
    <font>
      <b/>
      <sz val="18"/>
      <color theme="0"/>
      <name val="Calibri"/>
      <family val="2"/>
      <scheme val="minor"/>
    </font>
    <font>
      <b/>
      <sz val="20"/>
      <color theme="0"/>
      <name val="Calibri"/>
      <family val="2"/>
      <scheme val="minor"/>
    </font>
    <font>
      <b/>
      <sz val="20"/>
      <color theme="6" tint="-0.499984740745262"/>
      <name val="Calibri"/>
      <family val="2"/>
      <scheme val="minor"/>
    </font>
  </fonts>
  <fills count="6">
    <fill>
      <patternFill patternType="none"/>
    </fill>
    <fill>
      <patternFill patternType="gray125"/>
    </fill>
    <fill>
      <patternFill patternType="solid">
        <fgColor theme="5" tint="0.39997558519241921"/>
        <bgColor indexed="65"/>
      </patternFill>
    </fill>
    <fill>
      <patternFill patternType="solid">
        <fgColor theme="3" tint="-0.249977111117893"/>
        <bgColor indexed="64"/>
      </patternFill>
    </fill>
    <fill>
      <patternFill patternType="solid">
        <fgColor theme="6" tint="0.59999389629810485"/>
        <bgColor indexed="64"/>
      </patternFill>
    </fill>
    <fill>
      <patternFill patternType="solid">
        <fgColor theme="3" tint="0.59999389629810485"/>
        <bgColor indexed="64"/>
      </patternFill>
    </fill>
  </fills>
  <borders count="2">
    <border>
      <left/>
      <right/>
      <top/>
      <bottom/>
      <diagonal/>
    </border>
    <border>
      <left/>
      <right/>
      <top/>
      <bottom style="thick">
        <color theme="4"/>
      </bottom>
      <diagonal/>
    </border>
  </borders>
  <cellStyleXfs count="3">
    <xf numFmtId="0" fontId="0" fillId="0" borderId="0"/>
    <xf numFmtId="44" fontId="1" fillId="0" borderId="0" applyFont="0" applyFill="0" applyBorder="0" applyAlignment="0" applyProtection="0"/>
    <xf numFmtId="0" fontId="1" fillId="2" borderId="0" applyNumberFormat="0" applyBorder="0" applyAlignment="0" applyProtection="0"/>
  </cellStyleXfs>
  <cellXfs count="25">
    <xf numFmtId="0" fontId="0" fillId="0" borderId="0" xfId="0"/>
    <xf numFmtId="14" fontId="0" fillId="0" borderId="0" xfId="0" applyNumberFormat="1"/>
    <xf numFmtId="164" fontId="0" fillId="0" borderId="0" xfId="0" applyNumberFormat="1"/>
    <xf numFmtId="164" fontId="0" fillId="0" borderId="0" xfId="1" applyNumberFormat="1" applyFont="1"/>
    <xf numFmtId="165" fontId="0" fillId="0" borderId="0" xfId="0" applyNumberFormat="1"/>
    <xf numFmtId="9" fontId="0" fillId="0" borderId="0" xfId="0" applyNumberFormat="1"/>
    <xf numFmtId="0" fontId="0" fillId="0" borderId="0" xfId="0" applyAlignment="1">
      <alignment horizontal="left"/>
    </xf>
    <xf numFmtId="0" fontId="3" fillId="3" borderId="1" xfId="2" applyFont="1" applyFill="1" applyBorder="1" applyAlignment="1">
      <alignment horizontal="center" vertical="center"/>
    </xf>
    <xf numFmtId="14" fontId="3" fillId="3" borderId="1" xfId="2" applyNumberFormat="1" applyFont="1" applyFill="1" applyBorder="1" applyAlignment="1">
      <alignment horizontal="center" vertical="center"/>
    </xf>
    <xf numFmtId="9" fontId="3" fillId="3" borderId="1" xfId="2" applyNumberFormat="1" applyFont="1" applyFill="1" applyBorder="1" applyAlignment="1">
      <alignment horizontal="center" vertical="center"/>
    </xf>
    <xf numFmtId="164" fontId="3" fillId="3" borderId="1" xfId="2" applyNumberFormat="1" applyFont="1" applyFill="1" applyBorder="1" applyAlignment="1">
      <alignment horizontal="center" vertical="center"/>
    </xf>
    <xf numFmtId="165" fontId="3" fillId="3" borderId="1" xfId="2" applyNumberFormat="1" applyFont="1" applyFill="1" applyBorder="1" applyAlignment="1">
      <alignment horizontal="center" vertical="center"/>
    </xf>
    <xf numFmtId="0" fontId="0" fillId="0" borderId="0" xfId="0" applyAlignment="1">
      <alignment horizontal="center" vertical="center"/>
    </xf>
    <xf numFmtId="0" fontId="0" fillId="0" borderId="0" xfId="0" pivotButton="1"/>
    <xf numFmtId="0" fontId="5" fillId="3" borderId="0" xfId="0" applyFont="1" applyFill="1" applyAlignment="1">
      <alignment horizontal="center"/>
    </xf>
    <xf numFmtId="0" fontId="4" fillId="3" borderId="0" xfId="0" applyFont="1" applyFill="1" applyAlignment="1">
      <alignment horizontal="center"/>
    </xf>
    <xf numFmtId="0" fontId="6" fillId="3" borderId="0" xfId="0" applyFont="1" applyFill="1" applyAlignment="1">
      <alignment horizontal="center"/>
    </xf>
    <xf numFmtId="0" fontId="7" fillId="4" borderId="0" xfId="0" applyFont="1" applyFill="1" applyAlignment="1">
      <alignment horizontal="center" vertical="center"/>
    </xf>
    <xf numFmtId="14" fontId="7" fillId="4" borderId="0" xfId="0" applyNumberFormat="1" applyFont="1" applyFill="1" applyAlignment="1">
      <alignment horizontal="center" vertical="center"/>
    </xf>
    <xf numFmtId="9" fontId="7" fillId="4" borderId="0" xfId="0" applyNumberFormat="1" applyFont="1" applyFill="1" applyAlignment="1">
      <alignment horizontal="center" vertical="center"/>
    </xf>
    <xf numFmtId="165" fontId="7" fillId="4" borderId="0" xfId="0" applyNumberFormat="1" applyFont="1" applyFill="1" applyAlignment="1">
      <alignment horizontal="center" vertical="center"/>
    </xf>
    <xf numFmtId="164" fontId="7" fillId="4" borderId="0" xfId="1" applyNumberFormat="1" applyFont="1" applyFill="1" applyAlignment="1">
      <alignment horizontal="center" vertical="center"/>
    </xf>
    <xf numFmtId="164" fontId="7" fillId="4" borderId="0" xfId="0" applyNumberFormat="1" applyFont="1" applyFill="1" applyAlignment="1">
      <alignment horizontal="center" vertical="center"/>
    </xf>
    <xf numFmtId="0" fontId="0" fillId="5" borderId="0" xfId="0" applyFill="1"/>
    <xf numFmtId="0" fontId="0" fillId="0" borderId="0" xfId="0" applyNumberFormat="1"/>
  </cellXfs>
  <cellStyles count="3">
    <cellStyle name="60% - Accent2" xfId="2" builtinId="36"/>
    <cellStyle name="Currency" xfId="1" builtinId="4"/>
    <cellStyle name="Normal" xfId="0" builtinId="0"/>
  </cellStyles>
  <dxfs count="42">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outline="0">
        <bottom style="thin">
          <color indexed="64"/>
        </bottom>
      </border>
    </dxf>
    <dxf>
      <font>
        <b/>
        <strike val="0"/>
        <outline val="0"/>
        <shadow val="0"/>
        <u val="none"/>
        <vertAlign val="baseline"/>
        <sz val="16"/>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font>
        <b/>
        <strike val="0"/>
        <outline val="0"/>
        <shadow val="0"/>
        <u val="none"/>
        <vertAlign val="baseline"/>
        <sz val="16"/>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font>
        <b/>
        <strike val="0"/>
        <outline val="0"/>
        <shadow val="0"/>
        <u val="none"/>
        <vertAlign val="baseline"/>
        <sz val="16"/>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numFmt numFmtId="164" formatCode="_([$EGP]\ * #,##0.0_);_([$EGP]\ * \(#,##0.0\);_([$EGP]\ * &quot;-&quot;?_);_(@_)"/>
      <fill>
        <patternFill patternType="solid">
          <fgColor indexed="64"/>
          <bgColor theme="3"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numFmt numFmtId="164" formatCode="_([$EGP]\ * #,##0.0_);_([$EGP]\ * \(#,##0.0\);_([$EGP]\ * &quot;-&quot;?_);_(@_)"/>
      <fill>
        <patternFill patternType="solid">
          <fgColor indexed="64"/>
          <bgColor theme="3"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numFmt numFmtId="164" formatCode="_([$EGP]\ * #,##0.0_);_([$EGP]\ * \(#,##0.0\);_([$EGP]\ * &quot;-&quot;?_);_(@_)"/>
      <fill>
        <patternFill patternType="solid">
          <fgColor indexed="64"/>
          <bgColor theme="3"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numFmt numFmtId="164" formatCode="_([$EGP]\ * #,##0.0_);_([$EGP]\ * \(#,##0.0\);_([$EGP]\ * &quot;-&quot;?_);_(@_)"/>
      <fill>
        <patternFill patternType="solid">
          <fgColor indexed="64"/>
          <bgColor theme="3"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numFmt numFmtId="164" formatCode="_([$EGP]\ * #,##0.0_);_([$EGP]\ * \(#,##0.0\);_([$EGP]\ * &quot;-&quot;?_);_(@_)"/>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numFmt numFmtId="164" formatCode="_([$EGP]\ * #,##0.0_);_([$EGP]\ * \(#,##0.0\);_([$EGP]\ * &quot;-&quot;?_);_(@_)"/>
      <fill>
        <patternFill patternType="solid">
          <fgColor indexed="64"/>
          <bgColor theme="3"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numFmt numFmtId="165" formatCode="0.0%"/>
      <fill>
        <patternFill patternType="solid">
          <fgColor indexed="64"/>
          <bgColor theme="3"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numFmt numFmtId="164" formatCode="_([$EGP]\ * #,##0.0_);_([$EGP]\ * \(#,##0.0\);_([$EGP]\ * &quot;-&quot;?_);_(@_)"/>
      <fill>
        <patternFill patternType="solid">
          <fgColor indexed="64"/>
          <bgColor theme="3"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numFmt numFmtId="13" formatCode="0%"/>
      <fill>
        <patternFill patternType="solid">
          <fgColor indexed="64"/>
          <bgColor theme="3"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b/>
        <strike val="0"/>
        <outline val="0"/>
        <shadow val="0"/>
        <u val="none"/>
        <vertAlign val="baseline"/>
        <sz val="18"/>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b/>
        <strike val="0"/>
        <outline val="0"/>
        <shadow val="0"/>
        <u val="none"/>
        <vertAlign val="baseline"/>
        <sz val="18"/>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b/>
        <strike val="0"/>
        <outline val="0"/>
        <shadow val="0"/>
        <u val="none"/>
        <vertAlign val="baseline"/>
        <sz val="18"/>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b/>
        <strike val="0"/>
        <outline val="0"/>
        <shadow val="0"/>
        <u val="none"/>
        <vertAlign val="baseline"/>
        <sz val="18"/>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numFmt numFmtId="19" formatCode="m/d/yyyy"/>
      <fill>
        <patternFill patternType="solid">
          <fgColor indexed="64"/>
          <bgColor theme="3"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6"/>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font>
        <b/>
        <strike val="0"/>
        <outline val="0"/>
        <shadow val="0"/>
        <u val="none"/>
        <vertAlign val="baseline"/>
        <sz val="20"/>
        <color theme="6" tint="-0.499984740745262"/>
        <name val="Calibri"/>
        <family val="2"/>
        <scheme val="minor"/>
      </font>
      <fill>
        <patternFill patternType="solid">
          <fgColor indexed="64"/>
          <bgColor theme="6" tint="0.59999389629810485"/>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[Company_Sales.xlsx] Gross_sales!PivotTable1</c:name>
    <c:fmtId val="2"/>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Gross_sales'!$B$3</c:f>
              <c:strCache>
                <c:ptCount val="1"/>
                <c:pt idx="0">
                  <c:v>Sum of Unit_Price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Gross_sales'!$A$4:$A$10</c:f>
              <c:strCache>
                <c:ptCount val="6"/>
                <c:pt idx="0">
                  <c:v>Headset</c:v>
                </c:pt>
                <c:pt idx="1">
                  <c:v>Keyboard</c:v>
                </c:pt>
                <c:pt idx="2">
                  <c:v>Laptop</c:v>
                </c:pt>
                <c:pt idx="3">
                  <c:v>Monitor</c:v>
                </c:pt>
                <c:pt idx="4">
                  <c:v>Mouse</c:v>
                </c:pt>
                <c:pt idx="5">
                  <c:v>Printer</c:v>
                </c:pt>
              </c:strCache>
            </c:strRef>
          </c:cat>
          <c:val>
            <c:numRef>
              <c:f>' Gross_sales'!$B$4:$B$10</c:f>
              <c:numCache>
                <c:formatCode>General</c:formatCode>
                <c:ptCount val="6"/>
                <c:pt idx="0">
                  <c:v>112000</c:v>
                </c:pt>
                <c:pt idx="1">
                  <c:v>65000</c:v>
                </c:pt>
                <c:pt idx="2">
                  <c:v>1950000</c:v>
                </c:pt>
                <c:pt idx="3">
                  <c:v>568000</c:v>
                </c:pt>
                <c:pt idx="4">
                  <c:v>41700</c:v>
                </c:pt>
                <c:pt idx="5">
                  <c:v>714000</c:v>
                </c:pt>
              </c:numCache>
            </c:numRef>
          </c:val>
          <c:smooth val="0"/>
          <c:extLst>
            <c:ext xmlns:c16="http://schemas.microsoft.com/office/drawing/2014/chart" uri="{C3380CC4-5D6E-409C-BE32-E72D297353CC}">
              <c16:uniqueId val="{00000002-0BE5-4C94-A18B-0C0FA4D6E41B}"/>
            </c:ext>
          </c:extLst>
        </c:ser>
        <c:ser>
          <c:idx val="1"/>
          <c:order val="1"/>
          <c:tx>
            <c:strRef>
              <c:f>' Gross_sales'!$C$3</c:f>
              <c:strCache>
                <c:ptCount val="1"/>
                <c:pt idx="0">
                  <c:v>Sum of Gross_Sales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 Gross_sales'!$A$4:$A$10</c:f>
              <c:strCache>
                <c:ptCount val="6"/>
                <c:pt idx="0">
                  <c:v>Headset</c:v>
                </c:pt>
                <c:pt idx="1">
                  <c:v>Keyboard</c:v>
                </c:pt>
                <c:pt idx="2">
                  <c:v>Laptop</c:v>
                </c:pt>
                <c:pt idx="3">
                  <c:v>Monitor</c:v>
                </c:pt>
                <c:pt idx="4">
                  <c:v>Mouse</c:v>
                </c:pt>
                <c:pt idx="5">
                  <c:v>Printer</c:v>
                </c:pt>
              </c:strCache>
            </c:strRef>
          </c:cat>
          <c:val>
            <c:numRef>
              <c:f>' Gross_sales'!$C$4:$C$10</c:f>
              <c:numCache>
                <c:formatCode>General</c:formatCode>
                <c:ptCount val="6"/>
                <c:pt idx="0">
                  <c:v>579200</c:v>
                </c:pt>
                <c:pt idx="1">
                  <c:v>353500</c:v>
                </c:pt>
                <c:pt idx="2">
                  <c:v>9630000</c:v>
                </c:pt>
                <c:pt idx="3">
                  <c:v>3084000</c:v>
                </c:pt>
                <c:pt idx="4">
                  <c:v>212700</c:v>
                </c:pt>
                <c:pt idx="5">
                  <c:v>3864000</c:v>
                </c:pt>
              </c:numCache>
            </c:numRef>
          </c:val>
          <c:smooth val="0"/>
          <c:extLst>
            <c:ext xmlns:c16="http://schemas.microsoft.com/office/drawing/2014/chart" uri="{C3380CC4-5D6E-409C-BE32-E72D297353CC}">
              <c16:uniqueId val="{00000003-0BE5-4C94-A18B-0C0FA4D6E41B}"/>
            </c:ext>
          </c:extLst>
        </c:ser>
        <c:dLbls>
          <c:showLegendKey val="0"/>
          <c:showVal val="0"/>
          <c:showCatName val="0"/>
          <c:showSerName val="0"/>
          <c:showPercent val="0"/>
          <c:showBubbleSize val="0"/>
        </c:dLbls>
        <c:marker val="1"/>
        <c:smooth val="0"/>
        <c:axId val="446076384"/>
        <c:axId val="446077104"/>
      </c:lineChart>
      <c:catAx>
        <c:axId val="44607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77104"/>
        <c:crosses val="autoZero"/>
        <c:auto val="1"/>
        <c:lblAlgn val="ctr"/>
        <c:lblOffset val="100"/>
        <c:noMultiLvlLbl val="0"/>
      </c:catAx>
      <c:valAx>
        <c:axId val="44607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76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[Company_Sales.xlsx]COST&amp;PROFIT!PivotTable1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'COST&amp;PROFIT'!$B$3</c:f>
              <c:strCache>
                <c:ptCount val="1"/>
                <c:pt idx="0">
                  <c:v>Sum of Cost_Price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'COST&amp;PROFIT'!$A$4:$A$10</c:f>
              <c:strCache>
                <c:ptCount val="6"/>
                <c:pt idx="0">
                  <c:v>Headset</c:v>
                </c:pt>
                <c:pt idx="1">
                  <c:v>Keyboard</c:v>
                </c:pt>
                <c:pt idx="2">
                  <c:v>Laptop</c:v>
                </c:pt>
                <c:pt idx="3">
                  <c:v>Monitor</c:v>
                </c:pt>
                <c:pt idx="4">
                  <c:v>Mouse</c:v>
                </c:pt>
                <c:pt idx="5">
                  <c:v>Printer</c:v>
                </c:pt>
              </c:strCache>
            </c:strRef>
          </c:cat>
          <c:val>
            <c:numRef>
              <c:f>'COST&amp;PROFIT'!$B$4:$B$10</c:f>
              <c:numCache>
                <c:formatCode>General</c:formatCode>
                <c:ptCount val="6"/>
                <c:pt idx="0">
                  <c:v>405440</c:v>
                </c:pt>
                <c:pt idx="1">
                  <c:v>247450</c:v>
                </c:pt>
                <c:pt idx="2">
                  <c:v>6741000</c:v>
                </c:pt>
                <c:pt idx="3">
                  <c:v>2158800</c:v>
                </c:pt>
                <c:pt idx="4">
                  <c:v>148890</c:v>
                </c:pt>
                <c:pt idx="5">
                  <c:v>2704800</c:v>
                </c:pt>
              </c:numCache>
            </c:numRef>
          </c:val>
          <c:smooth val="0"/>
          <c:extLst>
            <c:ext xmlns:c16="http://schemas.microsoft.com/office/drawing/2014/chart" uri="{C3380CC4-5D6E-409C-BE32-E72D297353CC}">
              <c16:uniqueId val="{00000002-8A58-4062-96C2-54B7FC76601C}"/>
            </c:ext>
          </c:extLst>
        </c:ser>
        <c:ser>
          <c:idx val="1"/>
          <c:order val="1"/>
          <c:tx>
            <c:strRef>
              <c:f>'COST&amp;PROFIT'!$C$3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'COST&amp;PROFIT'!$A$4:$A$10</c:f>
              <c:strCache>
                <c:ptCount val="6"/>
                <c:pt idx="0">
                  <c:v>Headset</c:v>
                </c:pt>
                <c:pt idx="1">
                  <c:v>Keyboard</c:v>
                </c:pt>
                <c:pt idx="2">
                  <c:v>Laptop</c:v>
                </c:pt>
                <c:pt idx="3">
                  <c:v>Monitor</c:v>
                </c:pt>
                <c:pt idx="4">
                  <c:v>Mouse</c:v>
                </c:pt>
                <c:pt idx="5">
                  <c:v>Printer</c:v>
                </c:pt>
              </c:strCache>
            </c:strRef>
          </c:cat>
          <c:val>
            <c:numRef>
              <c:f>'COST&amp;PROFIT'!$C$4:$C$10</c:f>
              <c:numCache>
                <c:formatCode>General</c:formatCode>
                <c:ptCount val="6"/>
                <c:pt idx="0">
                  <c:v>130789.67200000001</c:v>
                </c:pt>
                <c:pt idx="1">
                  <c:v>81585.005000000063</c:v>
                </c:pt>
                <c:pt idx="2">
                  <c:v>2136411.0000000005</c:v>
                </c:pt>
                <c:pt idx="3">
                  <c:v>686577.96</c:v>
                </c:pt>
                <c:pt idx="4">
                  <c:v>48350.750999999989</c:v>
                </c:pt>
                <c:pt idx="5">
                  <c:v>884618.15999999992</c:v>
                </c:pt>
              </c:numCache>
            </c:numRef>
          </c:val>
          <c:smooth val="0"/>
          <c:extLst>
            <c:ext xmlns:c16="http://schemas.microsoft.com/office/drawing/2014/chart" uri="{C3380CC4-5D6E-409C-BE32-E72D297353CC}">
              <c16:uniqueId val="{00000003-8A58-4062-96C2-54B7FC76601C}"/>
            </c:ext>
          </c:extLst>
        </c:ser>
        <c:dLbls>
          <c:showLegendKey val="0"/>
          <c:showVal val="0"/>
          <c:showCatName val="0"/>
          <c:showSerName val="0"/>
          <c:showPercent val="0"/>
          <c:showBubbleSize val="0"/>
        </c:dLbls>
        <c:marker val="1"/>
        <c:smooth val="0"/>
        <c:axId val="782707216"/>
        <c:axId val="782709376"/>
      </c:lineChart>
      <c:catAx>
        <c:axId val="78270721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709376"/>
        <c:crosses val="autoZero"/>
        <c:auto val="1"/>
        <c:lblAlgn val="ctr"/>
        <c:lblOffset val="100"/>
        <c:noMultiLvlLbl val="0"/>
      </c:catAx>
      <c:valAx>
        <c:axId val="7827093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70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[Company_Sales.xlsx]Sheet1!PivotTable1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Discount_Value</c:v>
                </c:pt>
              </c:strCache>
            </c:strRef>
          </c:tx>
          <c:spPr>
            <a:solidFill>
              <a:schemeClr val="accent1"/>
            </a:solidFill>
            <a:ln>
              <a:noFill/>
            </a:ln>
            <a:effectLst/>
          </c:spPr>
          <c:invertIfNegative val="0"/>
          <c:cat>
            <c:strRef>
              <c:f>Sheet1!$A$4:$A$10</c:f>
              <c:strCache>
                <c:ptCount val="6"/>
                <c:pt idx="0">
                  <c:v>Headset</c:v>
                </c:pt>
                <c:pt idx="1">
                  <c:v>Keyboard</c:v>
                </c:pt>
                <c:pt idx="2">
                  <c:v>Laptop</c:v>
                </c:pt>
                <c:pt idx="3">
                  <c:v>Monitor</c:v>
                </c:pt>
                <c:pt idx="4">
                  <c:v>Mouse</c:v>
                </c:pt>
                <c:pt idx="5">
                  <c:v>Printer</c:v>
                </c:pt>
              </c:strCache>
            </c:strRef>
          </c:cat>
          <c:val>
            <c:numRef>
              <c:f>Sheet1!$B$4:$B$10</c:f>
              <c:numCache>
                <c:formatCode>General</c:formatCode>
                <c:ptCount val="6"/>
                <c:pt idx="0">
                  <c:v>43720</c:v>
                </c:pt>
                <c:pt idx="1">
                  <c:v>24925</c:v>
                </c:pt>
                <c:pt idx="2">
                  <c:v>765000</c:v>
                </c:pt>
                <c:pt idx="3">
                  <c:v>242600</c:v>
                </c:pt>
                <c:pt idx="4">
                  <c:v>15735</c:v>
                </c:pt>
                <c:pt idx="5">
                  <c:v>279600</c:v>
                </c:pt>
              </c:numCache>
            </c:numRef>
          </c:val>
          <c:extLst>
            <c:ext xmlns:c16="http://schemas.microsoft.com/office/drawing/2014/chart" uri="{C3380CC4-5D6E-409C-BE32-E72D297353CC}">
              <c16:uniqueId val="{00000010-3E98-4998-A7F7-BEC100C3B67C}"/>
            </c:ext>
          </c:extLst>
        </c:ser>
        <c:ser>
          <c:idx val="1"/>
          <c:order val="1"/>
          <c:tx>
            <c:strRef>
              <c:f>Sheet1!$C$3</c:f>
              <c:strCache>
                <c:ptCount val="1"/>
                <c:pt idx="0">
                  <c:v>Sum of Tax_Value</c:v>
                </c:pt>
              </c:strCache>
            </c:strRef>
          </c:tx>
          <c:spPr>
            <a:solidFill>
              <a:schemeClr val="accent2"/>
            </a:solidFill>
            <a:ln>
              <a:noFill/>
            </a:ln>
            <a:effectLst/>
          </c:spPr>
          <c:invertIfNegative val="0"/>
          <c:cat>
            <c:strRef>
              <c:f>Sheet1!$A$4:$A$10</c:f>
              <c:strCache>
                <c:ptCount val="6"/>
                <c:pt idx="0">
                  <c:v>Headset</c:v>
                </c:pt>
                <c:pt idx="1">
                  <c:v>Keyboard</c:v>
                </c:pt>
                <c:pt idx="2">
                  <c:v>Laptop</c:v>
                </c:pt>
                <c:pt idx="3">
                  <c:v>Monitor</c:v>
                </c:pt>
                <c:pt idx="4">
                  <c:v>Mouse</c:v>
                </c:pt>
                <c:pt idx="5">
                  <c:v>Printer</c:v>
                </c:pt>
              </c:strCache>
            </c:strRef>
          </c:cat>
          <c:val>
            <c:numRef>
              <c:f>Sheet1!$C$4:$C$10</c:f>
              <c:numCache>
                <c:formatCode>General</c:formatCode>
                <c:ptCount val="6"/>
                <c:pt idx="0">
                  <c:v>749.67200000000003</c:v>
                </c:pt>
                <c:pt idx="1">
                  <c:v>460.00500000000011</c:v>
                </c:pt>
                <c:pt idx="2">
                  <c:v>12411.000000000004</c:v>
                </c:pt>
                <c:pt idx="3">
                  <c:v>3977.9599999999996</c:v>
                </c:pt>
                <c:pt idx="4">
                  <c:v>275.75099999999981</c:v>
                </c:pt>
                <c:pt idx="5">
                  <c:v>5018.1600000000008</c:v>
                </c:pt>
              </c:numCache>
            </c:numRef>
          </c:val>
          <c:extLst>
            <c:ext xmlns:c16="http://schemas.microsoft.com/office/drawing/2014/chart" uri="{C3380CC4-5D6E-409C-BE32-E72D297353CC}">
              <c16:uniqueId val="{00000011-3E98-4998-A7F7-BEC100C3B67C}"/>
            </c:ext>
          </c:extLst>
        </c:ser>
        <c:ser>
          <c:idx val="2"/>
          <c:order val="2"/>
          <c:tx>
            <c:strRef>
              <c:f>Sheet1!$D$3</c:f>
              <c:strCache>
                <c:ptCount val="1"/>
                <c:pt idx="0">
                  <c:v>Sum of Unit_Price</c:v>
                </c:pt>
              </c:strCache>
            </c:strRef>
          </c:tx>
          <c:spPr>
            <a:solidFill>
              <a:schemeClr val="accent3"/>
            </a:solidFill>
            <a:ln>
              <a:noFill/>
            </a:ln>
            <a:effectLst/>
          </c:spPr>
          <c:invertIfNegative val="0"/>
          <c:cat>
            <c:strRef>
              <c:f>Sheet1!$A$4:$A$10</c:f>
              <c:strCache>
                <c:ptCount val="6"/>
                <c:pt idx="0">
                  <c:v>Headset</c:v>
                </c:pt>
                <c:pt idx="1">
                  <c:v>Keyboard</c:v>
                </c:pt>
                <c:pt idx="2">
                  <c:v>Laptop</c:v>
                </c:pt>
                <c:pt idx="3">
                  <c:v>Monitor</c:v>
                </c:pt>
                <c:pt idx="4">
                  <c:v>Mouse</c:v>
                </c:pt>
                <c:pt idx="5">
                  <c:v>Printer</c:v>
                </c:pt>
              </c:strCache>
            </c:strRef>
          </c:cat>
          <c:val>
            <c:numRef>
              <c:f>Sheet1!$D$4:$D$10</c:f>
              <c:numCache>
                <c:formatCode>General</c:formatCode>
                <c:ptCount val="6"/>
                <c:pt idx="0">
                  <c:v>112000</c:v>
                </c:pt>
                <c:pt idx="1">
                  <c:v>65000</c:v>
                </c:pt>
                <c:pt idx="2">
                  <c:v>1950000</c:v>
                </c:pt>
                <c:pt idx="3">
                  <c:v>568000</c:v>
                </c:pt>
                <c:pt idx="4">
                  <c:v>41700</c:v>
                </c:pt>
                <c:pt idx="5">
                  <c:v>714000</c:v>
                </c:pt>
              </c:numCache>
            </c:numRef>
          </c:val>
          <c:extLst>
            <c:ext xmlns:c16="http://schemas.microsoft.com/office/drawing/2014/chart" uri="{C3380CC4-5D6E-409C-BE32-E72D297353CC}">
              <c16:uniqueId val="{00000012-3E98-4998-A7F7-BEC100C3B67C}"/>
            </c:ext>
          </c:extLst>
        </c:ser>
        <c:ser>
          <c:idx val="3"/>
          <c:order val="3"/>
          <c:tx>
            <c:strRef>
              <c:f>Sheet1!$E$3</c:f>
              <c:strCache>
                <c:ptCount val="1"/>
                <c:pt idx="0">
                  <c:v>Sum of Profit</c:v>
                </c:pt>
              </c:strCache>
            </c:strRef>
          </c:tx>
          <c:spPr>
            <a:solidFill>
              <a:schemeClr val="accent4"/>
            </a:solidFill>
            <a:ln>
              <a:noFill/>
            </a:ln>
            <a:effectLst/>
          </c:spPr>
          <c:invertIfNegative val="0"/>
          <c:cat>
            <c:strRef>
              <c:f>Sheet1!$A$4:$A$10</c:f>
              <c:strCache>
                <c:ptCount val="6"/>
                <c:pt idx="0">
                  <c:v>Headset</c:v>
                </c:pt>
                <c:pt idx="1">
                  <c:v>Keyboard</c:v>
                </c:pt>
                <c:pt idx="2">
                  <c:v>Laptop</c:v>
                </c:pt>
                <c:pt idx="3">
                  <c:v>Monitor</c:v>
                </c:pt>
                <c:pt idx="4">
                  <c:v>Mouse</c:v>
                </c:pt>
                <c:pt idx="5">
                  <c:v>Printer</c:v>
                </c:pt>
              </c:strCache>
            </c:strRef>
          </c:cat>
          <c:val>
            <c:numRef>
              <c:f>Sheet1!$E$4:$E$10</c:f>
              <c:numCache>
                <c:formatCode>General</c:formatCode>
                <c:ptCount val="6"/>
                <c:pt idx="0">
                  <c:v>130789.67200000001</c:v>
                </c:pt>
                <c:pt idx="1">
                  <c:v>81585.005000000063</c:v>
                </c:pt>
                <c:pt idx="2">
                  <c:v>2136411.0000000005</c:v>
                </c:pt>
                <c:pt idx="3">
                  <c:v>686577.96</c:v>
                </c:pt>
                <c:pt idx="4">
                  <c:v>48350.750999999989</c:v>
                </c:pt>
                <c:pt idx="5">
                  <c:v>884618.15999999992</c:v>
                </c:pt>
              </c:numCache>
            </c:numRef>
          </c:val>
          <c:extLst>
            <c:ext xmlns:c16="http://schemas.microsoft.com/office/drawing/2014/chart" uri="{C3380CC4-5D6E-409C-BE32-E72D297353CC}">
              <c16:uniqueId val="{00000013-3E98-4998-A7F7-BEC100C3B67C}"/>
            </c:ext>
          </c:extLst>
        </c:ser>
        <c:dLbls>
          <c:showLegendKey val="0"/>
          <c:showVal val="0"/>
          <c:showCatName val="0"/>
          <c:showSerName val="0"/>
          <c:showPercent val="0"/>
          <c:showBubbleSize val="0"/>
        </c:dLbls>
        <c:gapWidth val="150"/>
        <c:axId val="578804528"/>
        <c:axId val="578808048"/>
      </c:barChart>
      <c:catAx>
        <c:axId val="5788045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08048"/>
        <c:crosses val="autoZero"/>
        <c:auto val="1"/>
        <c:lblAlgn val="ctr"/>
        <c:lblOffset val="100"/>
        <c:noMultiLvlLbl val="0"/>
      </c:catAx>
      <c:valAx>
        <c:axId val="57880804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0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[Company_Sales.xlsx]quanty,afterdiscount!PivotTable2</c:name>
    <c:fmtId val="1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'quanty,afterdiscount'!$B$3</c:f>
              <c:strCache>
                <c:ptCount val="1"/>
                <c:pt idx="0">
                  <c:v>Total</c:v>
                </c:pt>
              </c:strCache>
            </c:strRef>
          </c:tx>
          <c:spPr>
            <a:solidFill>
              <a:schemeClr val="accent1"/>
            </a:solidFill>
            <a:ln>
              <a:noFill/>
            </a:ln>
            <a:effectLst/>
          </c:spPr>
          <c:invertIfNegative val="0"/>
          <c:cat>
            <c:strRef>
              <c:f>'quanty,afterdiscount'!$A$4:$A$10</c:f>
              <c:strCache>
                <c:ptCount val="6"/>
                <c:pt idx="0">
                  <c:v>Headset</c:v>
                </c:pt>
                <c:pt idx="1">
                  <c:v>Keyboard</c:v>
                </c:pt>
                <c:pt idx="2">
                  <c:v>Laptop</c:v>
                </c:pt>
                <c:pt idx="3">
                  <c:v>Monitor</c:v>
                </c:pt>
                <c:pt idx="4">
                  <c:v>Mouse</c:v>
                </c:pt>
                <c:pt idx="5">
                  <c:v>Printer</c:v>
                </c:pt>
              </c:strCache>
            </c:strRef>
          </c:cat>
          <c:val>
            <c:numRef>
              <c:f>'quanty,afterdiscount'!$B$4:$B$10</c:f>
              <c:numCache>
                <c:formatCode>General</c:formatCode>
                <c:ptCount val="6"/>
                <c:pt idx="0">
                  <c:v>535480</c:v>
                </c:pt>
                <c:pt idx="1">
                  <c:v>328575</c:v>
                </c:pt>
                <c:pt idx="2">
                  <c:v>8865000</c:v>
                </c:pt>
                <c:pt idx="3">
                  <c:v>2841400</c:v>
                </c:pt>
                <c:pt idx="4">
                  <c:v>196965</c:v>
                </c:pt>
                <c:pt idx="5">
                  <c:v>3584400</c:v>
                </c:pt>
              </c:numCache>
            </c:numRef>
          </c:val>
          <c:extLst>
            <c:ext xmlns:c16="http://schemas.microsoft.com/office/drawing/2014/chart" uri="{C3380CC4-5D6E-409C-BE32-E72D297353CC}">
              <c16:uniqueId val="{00000001-7202-4212-90A2-68D7E6BBCDF1}"/>
            </c:ext>
          </c:extLst>
        </c:ser>
        <c:dLbls>
          <c:showLegendKey val="0"/>
          <c:showVal val="0"/>
          <c:showCatName val="0"/>
          <c:showSerName val="0"/>
          <c:showPercent val="0"/>
          <c:showBubbleSize val="0"/>
        </c:dLbls>
        <c:gapWidth val="150"/>
        <c:overlap val="100"/>
        <c:axId val="547856016"/>
        <c:axId val="547856736"/>
      </c:barChart>
      <c:catAx>
        <c:axId val="547856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47856736"/>
        <c:crosses val="autoZero"/>
        <c:auto val="1"/>
        <c:lblAlgn val="ctr"/>
        <c:lblOffset val="100"/>
        <c:noMultiLvlLbl val="0"/>
      </c:catAx>
      <c:valAx>
        <c:axId val="5478567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4785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[Company_Sales.xlsx]discount!PivotTable3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discount!$B$3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39-41EB-8DCF-62797A1752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39-41EB-8DCF-62797A1752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39-41EB-8DCF-62797A1752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39-41EB-8DCF-62797A1752A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39-41EB-8DCF-62797A1752A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339-41EB-8DCF-62797A1752A2}"/>
              </c:ext>
            </c:extLst>
          </c:dPt>
          <c:cat>
            <c:strRef>
              <c:f>discount!$A$4:$A$10</c:f>
              <c:strCache>
                <c:ptCount val="6"/>
                <c:pt idx="0">
                  <c:v>Headset</c:v>
                </c:pt>
                <c:pt idx="1">
                  <c:v>Keyboard</c:v>
                </c:pt>
                <c:pt idx="2">
                  <c:v>Laptop</c:v>
                </c:pt>
                <c:pt idx="3">
                  <c:v>Monitor</c:v>
                </c:pt>
                <c:pt idx="4">
                  <c:v>Mouse</c:v>
                </c:pt>
                <c:pt idx="5">
                  <c:v>Printer</c:v>
                </c:pt>
              </c:strCache>
            </c:strRef>
          </c:cat>
          <c:val>
            <c:numRef>
              <c:f>discount!$B$4:$B$10</c:f>
              <c:numCache>
                <c:formatCode>General</c:formatCode>
                <c:ptCount val="6"/>
                <c:pt idx="0">
                  <c:v>1020</c:v>
                </c:pt>
                <c:pt idx="1">
                  <c:v>970</c:v>
                </c:pt>
                <c:pt idx="2">
                  <c:v>1035</c:v>
                </c:pt>
                <c:pt idx="3">
                  <c:v>1075</c:v>
                </c:pt>
                <c:pt idx="4">
                  <c:v>1020</c:v>
                </c:pt>
                <c:pt idx="5">
                  <c:v>895</c:v>
                </c:pt>
              </c:numCache>
            </c:numRef>
          </c:val>
          <c:extLst>
            <c:ext xmlns:c16="http://schemas.microsoft.com/office/drawing/2014/chart" uri="{C3380CC4-5D6E-409C-BE32-E72D297353CC}">
              <c16:uniqueId val="{0000000E-30F1-4202-8D2B-E1291F2FCE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[Company_Sales.xlsx]COST&amp;PROFIT!PivotTable1</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97188645566285E-2"/>
          <c:y val="0.17237550743780514"/>
          <c:w val="0.90472800662481734"/>
          <c:h val="0.56720213650306062"/>
        </c:manualLayout>
      </c:layout>
      <c:lineChart>
        <c:grouping val="standard"/>
        <c:varyColors val="0"/>
        <c:ser>
          <c:idx val="0"/>
          <c:order val="0"/>
          <c:tx>
            <c:strRef>
              <c:f>'COST&amp;PROFIT'!$B$3</c:f>
              <c:strCache>
                <c:ptCount val="1"/>
                <c:pt idx="0">
                  <c:v>Sum of Cost_Price</c:v>
                </c:pt>
              </c:strCache>
            </c:strRef>
          </c:tx>
          <c:spPr>
            <a:ln w="31750" cap="rnd">
              <a:solidFill>
                <a:schemeClr val="accent1">
                  <a:shade val="76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'COST&amp;PROFIT'!$A$4:$A$10</c:f>
              <c:strCache>
                <c:ptCount val="6"/>
                <c:pt idx="0">
                  <c:v>Headset</c:v>
                </c:pt>
                <c:pt idx="1">
                  <c:v>Keyboard</c:v>
                </c:pt>
                <c:pt idx="2">
                  <c:v>Laptop</c:v>
                </c:pt>
                <c:pt idx="3">
                  <c:v>Monitor</c:v>
                </c:pt>
                <c:pt idx="4">
                  <c:v>Mouse</c:v>
                </c:pt>
                <c:pt idx="5">
                  <c:v>Printer</c:v>
                </c:pt>
              </c:strCache>
            </c:strRef>
          </c:cat>
          <c:val>
            <c:numRef>
              <c:f>'COST&amp;PROFIT'!$B$4:$B$10</c:f>
              <c:numCache>
                <c:formatCode>General</c:formatCode>
                <c:ptCount val="6"/>
                <c:pt idx="0">
                  <c:v>405440</c:v>
                </c:pt>
                <c:pt idx="1">
                  <c:v>247450</c:v>
                </c:pt>
                <c:pt idx="2">
                  <c:v>6741000</c:v>
                </c:pt>
                <c:pt idx="3">
                  <c:v>2158800</c:v>
                </c:pt>
                <c:pt idx="4">
                  <c:v>148890</c:v>
                </c:pt>
                <c:pt idx="5">
                  <c:v>2704800</c:v>
                </c:pt>
              </c:numCache>
            </c:numRef>
          </c:val>
          <c:smooth val="0"/>
          <c:extLst>
            <c:ext xmlns:c16="http://schemas.microsoft.com/office/drawing/2014/chart" uri="{C3380CC4-5D6E-409C-BE32-E72D297353CC}">
              <c16:uniqueId val="{00000003-CB9F-4290-909F-24B7755FE4F8}"/>
            </c:ext>
          </c:extLst>
        </c:ser>
        <c:ser>
          <c:idx val="1"/>
          <c:order val="1"/>
          <c:tx>
            <c:strRef>
              <c:f>'COST&amp;PROFIT'!$C$3</c:f>
              <c:strCache>
                <c:ptCount val="1"/>
                <c:pt idx="0">
                  <c:v>Sum of Profit</c:v>
                </c:pt>
              </c:strCache>
            </c:strRef>
          </c:tx>
          <c:spPr>
            <a:ln w="31750" cap="rnd">
              <a:solidFill>
                <a:schemeClr val="accent1">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'COST&amp;PROFIT'!$A$4:$A$10</c:f>
              <c:strCache>
                <c:ptCount val="6"/>
                <c:pt idx="0">
                  <c:v>Headset</c:v>
                </c:pt>
                <c:pt idx="1">
                  <c:v>Keyboard</c:v>
                </c:pt>
                <c:pt idx="2">
                  <c:v>Laptop</c:v>
                </c:pt>
                <c:pt idx="3">
                  <c:v>Monitor</c:v>
                </c:pt>
                <c:pt idx="4">
                  <c:v>Mouse</c:v>
                </c:pt>
                <c:pt idx="5">
                  <c:v>Printer</c:v>
                </c:pt>
              </c:strCache>
            </c:strRef>
          </c:cat>
          <c:val>
            <c:numRef>
              <c:f>'COST&amp;PROFIT'!$C$4:$C$10</c:f>
              <c:numCache>
                <c:formatCode>General</c:formatCode>
                <c:ptCount val="6"/>
                <c:pt idx="0">
                  <c:v>130789.67200000001</c:v>
                </c:pt>
                <c:pt idx="1">
                  <c:v>81585.005000000063</c:v>
                </c:pt>
                <c:pt idx="2">
                  <c:v>2136411.0000000005</c:v>
                </c:pt>
                <c:pt idx="3">
                  <c:v>686577.96</c:v>
                </c:pt>
                <c:pt idx="4">
                  <c:v>48350.750999999989</c:v>
                </c:pt>
                <c:pt idx="5">
                  <c:v>884618.15999999992</c:v>
                </c:pt>
              </c:numCache>
            </c:numRef>
          </c:val>
          <c:smooth val="0"/>
          <c:extLst>
            <c:ext xmlns:c16="http://schemas.microsoft.com/office/drawing/2014/chart" uri="{C3380CC4-5D6E-409C-BE32-E72D297353CC}">
              <c16:uniqueId val="{00000004-CB9F-4290-909F-24B7755FE4F8}"/>
            </c:ext>
          </c:extLst>
        </c:ser>
        <c:dLbls>
          <c:showLegendKey val="0"/>
          <c:showVal val="0"/>
          <c:showCatName val="0"/>
          <c:showSerName val="0"/>
          <c:showPercent val="0"/>
          <c:showBubbleSize val="0"/>
        </c:dLbls>
        <c:marker val="1"/>
        <c:smooth val="0"/>
        <c:axId val="782707216"/>
        <c:axId val="782709376"/>
      </c:lineChart>
      <c:catAx>
        <c:axId val="78270721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crossAx val="782709376"/>
        <c:crosses val="autoZero"/>
        <c:auto val="1"/>
        <c:lblAlgn val="ctr"/>
        <c:lblOffset val="100"/>
        <c:noMultiLvlLbl val="0"/>
      </c:catAx>
      <c:valAx>
        <c:axId val="7827093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crossAx val="78270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2">
          <a:lumMod val="15000"/>
          <a:lumOff val="85000"/>
        </a:schemeClr>
      </a:solid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[Company_Sales.xlsx]discount!PivotTable3</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3"/>
          </a:solidFill>
          <a:ln>
            <a:noFill/>
          </a:ln>
          <a:effectLst>
            <a:outerShdw blurRad="317500" algn="ctr" rotWithShape="0">
              <a:prstClr val="black">
                <a:alpha val="25000"/>
              </a:prstClr>
            </a:outerShdw>
          </a:effectLst>
        </c:spPr>
      </c:pivotFmt>
      <c:pivotFmt>
        <c:idx val="18"/>
        <c:spPr>
          <a:solidFill>
            <a:schemeClr val="accent5"/>
          </a:solidFill>
          <a:ln>
            <a:noFill/>
          </a:ln>
          <a:effectLst>
            <a:outerShdw blurRad="317500" algn="ctr" rotWithShape="0">
              <a:prstClr val="black">
                <a:alpha val="25000"/>
              </a:prstClr>
            </a:outerShdw>
          </a:effectLst>
        </c:spPr>
      </c:pivotFmt>
      <c:pivotFmt>
        <c:idx val="19"/>
        <c:spPr>
          <a:solidFill>
            <a:schemeClr val="accent1">
              <a:lumMod val="60000"/>
            </a:schemeClr>
          </a:solidFill>
          <a:ln>
            <a:noFill/>
          </a:ln>
          <a:effectLst>
            <a:outerShdw blurRad="317500" algn="ctr" rotWithShape="0">
              <a:prstClr val="black">
                <a:alpha val="25000"/>
              </a:prstClr>
            </a:outerShdw>
          </a:effectLst>
        </c:spPr>
      </c:pivotFmt>
      <c:pivotFmt>
        <c:idx val="20"/>
        <c:spPr>
          <a:solidFill>
            <a:schemeClr val="accent3">
              <a:lumMod val="60000"/>
            </a:schemeClr>
          </a:solidFill>
          <a:ln>
            <a:noFill/>
          </a:ln>
          <a:effectLst>
            <a:outerShdw blurRad="317500" algn="ctr" rotWithShape="0">
              <a:prstClr val="black">
                <a:alpha val="25000"/>
              </a:prstClr>
            </a:outerShdw>
          </a:effectLst>
        </c:spPr>
      </c:pivotFmt>
      <c:pivotFmt>
        <c:idx val="21"/>
        <c:spPr>
          <a:solidFill>
            <a:schemeClr val="accent5">
              <a:lumMod val="60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discount!$B$3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0BB-4E13-808D-BDDEE6A1AE45}"/>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0BB-4E13-808D-BDDEE6A1AE45}"/>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0BB-4E13-808D-BDDEE6A1AE45}"/>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0BB-4E13-808D-BDDEE6A1AE45}"/>
              </c:ext>
            </c:extLst>
          </c:dPt>
          <c:dPt>
            <c:idx val="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0BB-4E13-808D-BDDEE6A1AE45}"/>
              </c:ext>
            </c:extLst>
          </c:dPt>
          <c:dPt>
            <c:idx val="5"/>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D0BB-4E13-808D-BDDEE6A1AE4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discount!$A$4:$A$10</c:f>
              <c:strCache>
                <c:ptCount val="6"/>
                <c:pt idx="0">
                  <c:v>Headset</c:v>
                </c:pt>
                <c:pt idx="1">
                  <c:v>Keyboard</c:v>
                </c:pt>
                <c:pt idx="2">
                  <c:v>Laptop</c:v>
                </c:pt>
                <c:pt idx="3">
                  <c:v>Monitor</c:v>
                </c:pt>
                <c:pt idx="4">
                  <c:v>Mouse</c:v>
                </c:pt>
                <c:pt idx="5">
                  <c:v>Printer</c:v>
                </c:pt>
              </c:strCache>
            </c:strRef>
          </c:cat>
          <c:val>
            <c:numRef>
              <c:f>discount!$B$4:$B$10</c:f>
              <c:numCache>
                <c:formatCode>General</c:formatCode>
                <c:ptCount val="6"/>
                <c:pt idx="0">
                  <c:v>1020</c:v>
                </c:pt>
                <c:pt idx="1">
                  <c:v>970</c:v>
                </c:pt>
                <c:pt idx="2">
                  <c:v>1035</c:v>
                </c:pt>
                <c:pt idx="3">
                  <c:v>1075</c:v>
                </c:pt>
                <c:pt idx="4">
                  <c:v>1020</c:v>
                </c:pt>
                <c:pt idx="5">
                  <c:v>895</c:v>
                </c:pt>
              </c:numCache>
            </c:numRef>
          </c:val>
          <c:extLst>
            <c:ext xmlns:c16="http://schemas.microsoft.com/office/drawing/2014/chart" uri="{C3380CC4-5D6E-409C-BE32-E72D297353CC}">
              <c16:uniqueId val="{0000000F-3927-4D60-A703-21E18732527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[Company_Sales.xlsx]quanty,afterdiscount!PivotTable2</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36268701406146"/>
          <c:y val="4.4208061957257558E-2"/>
          <c:w val="0.58337449484823556"/>
          <c:h val="0.88269878029952142"/>
        </c:manualLayout>
      </c:layout>
      <c:barChart>
        <c:barDir val="bar"/>
        <c:grouping val="stacked"/>
        <c:varyColors val="0"/>
        <c:ser>
          <c:idx val="0"/>
          <c:order val="0"/>
          <c:tx>
            <c:strRef>
              <c:f>'quanty,afterdiscount'!$B$3</c:f>
              <c:strCache>
                <c:ptCount val="1"/>
                <c:pt idx="0">
                  <c:v>Total</c:v>
                </c:pt>
              </c:strCache>
            </c:strRef>
          </c:tx>
          <c:spPr>
            <a:solidFill>
              <a:schemeClr val="accent1"/>
            </a:solidFill>
            <a:ln>
              <a:noFill/>
            </a:ln>
            <a:effectLst/>
          </c:spPr>
          <c:invertIfNegative val="0"/>
          <c:cat>
            <c:strRef>
              <c:f>'quanty,afterdiscount'!$A$4:$A$10</c:f>
              <c:strCache>
                <c:ptCount val="6"/>
                <c:pt idx="0">
                  <c:v>Headset</c:v>
                </c:pt>
                <c:pt idx="1">
                  <c:v>Keyboard</c:v>
                </c:pt>
                <c:pt idx="2">
                  <c:v>Laptop</c:v>
                </c:pt>
                <c:pt idx="3">
                  <c:v>Monitor</c:v>
                </c:pt>
                <c:pt idx="4">
                  <c:v>Mouse</c:v>
                </c:pt>
                <c:pt idx="5">
                  <c:v>Printer</c:v>
                </c:pt>
              </c:strCache>
            </c:strRef>
          </c:cat>
          <c:val>
            <c:numRef>
              <c:f>'quanty,afterdiscount'!$B$4:$B$10</c:f>
              <c:numCache>
                <c:formatCode>General</c:formatCode>
                <c:ptCount val="6"/>
                <c:pt idx="0">
                  <c:v>535480</c:v>
                </c:pt>
                <c:pt idx="1">
                  <c:v>328575</c:v>
                </c:pt>
                <c:pt idx="2">
                  <c:v>8865000</c:v>
                </c:pt>
                <c:pt idx="3">
                  <c:v>2841400</c:v>
                </c:pt>
                <c:pt idx="4">
                  <c:v>196965</c:v>
                </c:pt>
                <c:pt idx="5">
                  <c:v>3584400</c:v>
                </c:pt>
              </c:numCache>
            </c:numRef>
          </c:val>
          <c:extLst>
            <c:ext xmlns:c16="http://schemas.microsoft.com/office/drawing/2014/chart" uri="{C3380CC4-5D6E-409C-BE32-E72D297353CC}">
              <c16:uniqueId val="{00000002-09CB-49C3-A322-0DA848F4C2E3}"/>
            </c:ext>
          </c:extLst>
        </c:ser>
        <c:dLbls>
          <c:dLblPos val="ctr"/>
          <c:showLegendKey val="0"/>
          <c:showVal val="0"/>
          <c:showCatName val="0"/>
          <c:showSerName val="0"/>
          <c:showPercent val="0"/>
          <c:showBubbleSize val="0"/>
        </c:dLbls>
        <c:gapWidth val="150"/>
        <c:overlap val="100"/>
        <c:axId val="547856016"/>
        <c:axId val="547856736"/>
      </c:barChart>
      <c:catAx>
        <c:axId val="547856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547856736"/>
        <c:crosses val="autoZero"/>
        <c:auto val="1"/>
        <c:lblAlgn val="ctr"/>
        <c:lblOffset val="100"/>
        <c:noMultiLvlLbl val="0"/>
      </c:catAx>
      <c:valAx>
        <c:axId val="5478567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54785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sz="1100" b="1">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[Company_Sales.xlsx]Sheet1!PivotTable1</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Discount_Value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Sheet1!$A$4:$A$10</c:f>
              <c:strCache>
                <c:ptCount val="6"/>
                <c:pt idx="0">
                  <c:v>Headset</c:v>
                </c:pt>
                <c:pt idx="1">
                  <c:v>Keyboard</c:v>
                </c:pt>
                <c:pt idx="2">
                  <c:v>Laptop</c:v>
                </c:pt>
                <c:pt idx="3">
                  <c:v>Monitor</c:v>
                </c:pt>
                <c:pt idx="4">
                  <c:v>Mouse</c:v>
                </c:pt>
                <c:pt idx="5">
                  <c:v>Printer</c:v>
                </c:pt>
              </c:strCache>
            </c:strRef>
          </c:cat>
          <c:val>
            <c:numRef>
              <c:f>Sheet1!$B$4:$B$10</c:f>
              <c:numCache>
                <c:formatCode>General</c:formatCode>
                <c:ptCount val="6"/>
                <c:pt idx="0">
                  <c:v>43720</c:v>
                </c:pt>
                <c:pt idx="1">
                  <c:v>24925</c:v>
                </c:pt>
                <c:pt idx="2">
                  <c:v>765000</c:v>
                </c:pt>
                <c:pt idx="3">
                  <c:v>242600</c:v>
                </c:pt>
                <c:pt idx="4">
                  <c:v>15735</c:v>
                </c:pt>
                <c:pt idx="5">
                  <c:v>279600</c:v>
                </c:pt>
              </c:numCache>
            </c:numRef>
          </c:val>
          <c:extLst>
            <c:ext xmlns:c16="http://schemas.microsoft.com/office/drawing/2014/chart" uri="{C3380CC4-5D6E-409C-BE32-E72D297353CC}">
              <c16:uniqueId val="{00000009-4CCA-407D-9F5C-6E069B637D5F}"/>
            </c:ext>
          </c:extLst>
        </c:ser>
        <c:ser>
          <c:idx val="1"/>
          <c:order val="1"/>
          <c:tx>
            <c:strRef>
              <c:f>Sheet1!$C$3</c:f>
              <c:strCache>
                <c:ptCount val="1"/>
                <c:pt idx="0">
                  <c:v>Sum of Tax_Value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Sheet1!$A$4:$A$10</c:f>
              <c:strCache>
                <c:ptCount val="6"/>
                <c:pt idx="0">
                  <c:v>Headset</c:v>
                </c:pt>
                <c:pt idx="1">
                  <c:v>Keyboard</c:v>
                </c:pt>
                <c:pt idx="2">
                  <c:v>Laptop</c:v>
                </c:pt>
                <c:pt idx="3">
                  <c:v>Monitor</c:v>
                </c:pt>
                <c:pt idx="4">
                  <c:v>Mouse</c:v>
                </c:pt>
                <c:pt idx="5">
                  <c:v>Printer</c:v>
                </c:pt>
              </c:strCache>
            </c:strRef>
          </c:cat>
          <c:val>
            <c:numRef>
              <c:f>Sheet1!$C$4:$C$10</c:f>
              <c:numCache>
                <c:formatCode>General</c:formatCode>
                <c:ptCount val="6"/>
                <c:pt idx="0">
                  <c:v>749.67200000000003</c:v>
                </c:pt>
                <c:pt idx="1">
                  <c:v>460.00500000000011</c:v>
                </c:pt>
                <c:pt idx="2">
                  <c:v>12411.000000000004</c:v>
                </c:pt>
                <c:pt idx="3">
                  <c:v>3977.9599999999996</c:v>
                </c:pt>
                <c:pt idx="4">
                  <c:v>275.75099999999981</c:v>
                </c:pt>
                <c:pt idx="5">
                  <c:v>5018.1600000000008</c:v>
                </c:pt>
              </c:numCache>
            </c:numRef>
          </c:val>
          <c:extLst>
            <c:ext xmlns:c16="http://schemas.microsoft.com/office/drawing/2014/chart" uri="{C3380CC4-5D6E-409C-BE32-E72D297353CC}">
              <c16:uniqueId val="{0000000A-4CCA-407D-9F5C-6E069B637D5F}"/>
            </c:ext>
          </c:extLst>
        </c:ser>
        <c:ser>
          <c:idx val="2"/>
          <c:order val="2"/>
          <c:tx>
            <c:strRef>
              <c:f>Sheet1!$D$3</c:f>
              <c:strCache>
                <c:ptCount val="1"/>
                <c:pt idx="0">
                  <c:v>Sum of Unit_Price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Sheet1!$A$4:$A$10</c:f>
              <c:strCache>
                <c:ptCount val="6"/>
                <c:pt idx="0">
                  <c:v>Headset</c:v>
                </c:pt>
                <c:pt idx="1">
                  <c:v>Keyboard</c:v>
                </c:pt>
                <c:pt idx="2">
                  <c:v>Laptop</c:v>
                </c:pt>
                <c:pt idx="3">
                  <c:v>Monitor</c:v>
                </c:pt>
                <c:pt idx="4">
                  <c:v>Mouse</c:v>
                </c:pt>
                <c:pt idx="5">
                  <c:v>Printer</c:v>
                </c:pt>
              </c:strCache>
            </c:strRef>
          </c:cat>
          <c:val>
            <c:numRef>
              <c:f>Sheet1!$D$4:$D$10</c:f>
              <c:numCache>
                <c:formatCode>General</c:formatCode>
                <c:ptCount val="6"/>
                <c:pt idx="0">
                  <c:v>112000</c:v>
                </c:pt>
                <c:pt idx="1">
                  <c:v>65000</c:v>
                </c:pt>
                <c:pt idx="2">
                  <c:v>1950000</c:v>
                </c:pt>
                <c:pt idx="3">
                  <c:v>568000</c:v>
                </c:pt>
                <c:pt idx="4">
                  <c:v>41700</c:v>
                </c:pt>
                <c:pt idx="5">
                  <c:v>714000</c:v>
                </c:pt>
              </c:numCache>
            </c:numRef>
          </c:val>
          <c:extLst>
            <c:ext xmlns:c16="http://schemas.microsoft.com/office/drawing/2014/chart" uri="{C3380CC4-5D6E-409C-BE32-E72D297353CC}">
              <c16:uniqueId val="{0000000B-4CCA-407D-9F5C-6E069B637D5F}"/>
            </c:ext>
          </c:extLst>
        </c:ser>
        <c:ser>
          <c:idx val="3"/>
          <c:order val="3"/>
          <c:tx>
            <c:strRef>
              <c:f>Sheet1!$E$3</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Sheet1!$A$4:$A$10</c:f>
              <c:strCache>
                <c:ptCount val="6"/>
                <c:pt idx="0">
                  <c:v>Headset</c:v>
                </c:pt>
                <c:pt idx="1">
                  <c:v>Keyboard</c:v>
                </c:pt>
                <c:pt idx="2">
                  <c:v>Laptop</c:v>
                </c:pt>
                <c:pt idx="3">
                  <c:v>Monitor</c:v>
                </c:pt>
                <c:pt idx="4">
                  <c:v>Mouse</c:v>
                </c:pt>
                <c:pt idx="5">
                  <c:v>Printer</c:v>
                </c:pt>
              </c:strCache>
            </c:strRef>
          </c:cat>
          <c:val>
            <c:numRef>
              <c:f>Sheet1!$E$4:$E$10</c:f>
              <c:numCache>
                <c:formatCode>General</c:formatCode>
                <c:ptCount val="6"/>
                <c:pt idx="0">
                  <c:v>130789.67200000001</c:v>
                </c:pt>
                <c:pt idx="1">
                  <c:v>81585.005000000063</c:v>
                </c:pt>
                <c:pt idx="2">
                  <c:v>2136411.0000000005</c:v>
                </c:pt>
                <c:pt idx="3">
                  <c:v>686577.96</c:v>
                </c:pt>
                <c:pt idx="4">
                  <c:v>48350.750999999989</c:v>
                </c:pt>
                <c:pt idx="5">
                  <c:v>884618.15999999992</c:v>
                </c:pt>
              </c:numCache>
            </c:numRef>
          </c:val>
          <c:extLst>
            <c:ext xmlns:c16="http://schemas.microsoft.com/office/drawing/2014/chart" uri="{C3380CC4-5D6E-409C-BE32-E72D297353CC}">
              <c16:uniqueId val="{0000000C-4CCA-407D-9F5C-6E069B637D5F}"/>
            </c:ext>
          </c:extLst>
        </c:ser>
        <c:dLbls>
          <c:showLegendKey val="0"/>
          <c:showVal val="0"/>
          <c:showCatName val="0"/>
          <c:showSerName val="0"/>
          <c:showPercent val="0"/>
          <c:showBubbleSize val="0"/>
        </c:dLbls>
        <c:gapWidth val="100"/>
        <c:overlap val="-24"/>
        <c:axId val="578804528"/>
        <c:axId val="578808048"/>
      </c:barChart>
      <c:catAx>
        <c:axId val="5788045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578808048"/>
        <c:crosses val="autoZero"/>
        <c:auto val="1"/>
        <c:lblAlgn val="ctr"/>
        <c:lblOffset val="100"/>
        <c:noMultiLvlLbl val="0"/>
      </c:catAx>
      <c:valAx>
        <c:axId val="5788080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57880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emf"/><Relationship Id="rId3" Type="http://schemas.openxmlformats.org/officeDocument/2006/relationships/chart" Target="../charts/chart8.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emf"/><Relationship Id="rId2" Type="http://schemas.openxmlformats.org/officeDocument/2006/relationships/chart" Target="../charts/chart7.xml"/><Relationship Id="rId16" Type="http://schemas.openxmlformats.org/officeDocument/2006/relationships/image" Target="../media/image12.svg"/><Relationship Id="rId1" Type="http://schemas.openxmlformats.org/officeDocument/2006/relationships/chart" Target="../charts/chart6.xml"/><Relationship Id="rId6" Type="http://schemas.openxmlformats.org/officeDocument/2006/relationships/chart" Target="../charts/chart9.xml"/><Relationship Id="rId11" Type="http://schemas.openxmlformats.org/officeDocument/2006/relationships/image" Target="../media/image7.png"/><Relationship Id="rId5" Type="http://schemas.openxmlformats.org/officeDocument/2006/relationships/image" Target="../media/image2.sv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image" Target="../media/image1.png"/><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85724</xdr:colOff>
      <xdr:row>6</xdr:row>
      <xdr:rowOff>14287</xdr:rowOff>
    </xdr:from>
    <xdr:to>
      <xdr:col>8</xdr:col>
      <xdr:colOff>447674</xdr:colOff>
      <xdr:row>20</xdr:row>
      <xdr:rowOff>90487</xdr:rowOff>
    </xdr:to>
    <xdr:graphicFrame macro="">
      <xdr:nvGraphicFramePr>
        <xdr:cNvPr id="2" name="Gross_sales">
          <a:extLst>
            <a:ext uri="{FF2B5EF4-FFF2-40B4-BE49-F238E27FC236}">
              <a16:creationId xmlns:a16="http://schemas.microsoft.com/office/drawing/2014/main" id="{948836A8-AF9A-7835-3DAB-A53341577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3</xdr:row>
      <xdr:rowOff>61912</xdr:rowOff>
    </xdr:from>
    <xdr:to>
      <xdr:col>13</xdr:col>
      <xdr:colOff>76200</xdr:colOff>
      <xdr:row>17</xdr:row>
      <xdr:rowOff>138112</xdr:rowOff>
    </xdr:to>
    <xdr:graphicFrame macro="">
      <xdr:nvGraphicFramePr>
        <xdr:cNvPr id="2" name="COST&amp;PROFIT">
          <a:extLst>
            <a:ext uri="{FF2B5EF4-FFF2-40B4-BE49-F238E27FC236}">
              <a16:creationId xmlns:a16="http://schemas.microsoft.com/office/drawing/2014/main" id="{6FBBBE36-7AA0-AD11-5592-C066A1406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323850</xdr:colOff>
      <xdr:row>7</xdr:row>
      <xdr:rowOff>38100</xdr:rowOff>
    </xdr:from>
    <xdr:to>
      <xdr:col>9</xdr:col>
      <xdr:colOff>333375</xdr:colOff>
      <xdr:row>21</xdr:row>
      <xdr:rowOff>114300</xdr:rowOff>
    </xdr:to>
    <xdr:graphicFrame macro="">
      <xdr:nvGraphicFramePr>
        <xdr:cNvPr id="2" name="Chart 1">
          <a:extLst>
            <a:ext uri="{FF2B5EF4-FFF2-40B4-BE49-F238E27FC236}">
              <a16:creationId xmlns:a16="http://schemas.microsoft.com/office/drawing/2014/main" id="{89EB0875-9520-F525-65F1-8747DE3F9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161925</xdr:colOff>
      <xdr:row>2</xdr:row>
      <xdr:rowOff>157162</xdr:rowOff>
    </xdr:from>
    <xdr:to>
      <xdr:col>10</xdr:col>
      <xdr:colOff>466725</xdr:colOff>
      <xdr:row>17</xdr:row>
      <xdr:rowOff>42862</xdr:rowOff>
    </xdr:to>
    <xdr:graphicFrame macro="">
      <xdr:nvGraphicFramePr>
        <xdr:cNvPr id="3" name="quanty,afterdiscount">
          <a:extLst>
            <a:ext uri="{FF2B5EF4-FFF2-40B4-BE49-F238E27FC236}">
              <a16:creationId xmlns:a16="http://schemas.microsoft.com/office/drawing/2014/main" id="{4D85B004-947C-0C21-888E-F718E9A32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66675</xdr:colOff>
      <xdr:row>4</xdr:row>
      <xdr:rowOff>109537</xdr:rowOff>
    </xdr:from>
    <xdr:to>
      <xdr:col>10</xdr:col>
      <xdr:colOff>371475</xdr:colOff>
      <xdr:row>18</xdr:row>
      <xdr:rowOff>185737</xdr:rowOff>
    </xdr:to>
    <xdr:graphicFrame macro="">
      <xdr:nvGraphicFramePr>
        <xdr:cNvPr id="3" name="discount">
          <a:extLst>
            <a:ext uri="{FF2B5EF4-FFF2-40B4-BE49-F238E27FC236}">
              <a16:creationId xmlns:a16="http://schemas.microsoft.com/office/drawing/2014/main" id="{30A284BA-FD44-B726-D76F-189E7A895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144447</xdr:colOff>
      <xdr:row>31</xdr:row>
      <xdr:rowOff>0</xdr:rowOff>
    </xdr:from>
    <xdr:to>
      <xdr:col>24</xdr:col>
      <xdr:colOff>566267</xdr:colOff>
      <xdr:row>44</xdr:row>
      <xdr:rowOff>176893</xdr:rowOff>
    </xdr:to>
    <xdr:graphicFrame macro="">
      <xdr:nvGraphicFramePr>
        <xdr:cNvPr id="4" name="COST&amp;PROFIT">
          <a:extLst>
            <a:ext uri="{FF2B5EF4-FFF2-40B4-BE49-F238E27FC236}">
              <a16:creationId xmlns:a16="http://schemas.microsoft.com/office/drawing/2014/main" id="{5D01482C-92DC-473B-B47D-7A932AA1A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103626</xdr:colOff>
      <xdr:row>11</xdr:row>
      <xdr:rowOff>53662</xdr:rowOff>
    </xdr:from>
    <xdr:to>
      <xdr:col>13</xdr:col>
      <xdr:colOff>349599</xdr:colOff>
      <xdr:row>30</xdr:row>
      <xdr:rowOff>121206</xdr:rowOff>
    </xdr:to>
    <xdr:graphicFrame macro="">
      <xdr:nvGraphicFramePr>
        <xdr:cNvPr id="5" name="discount">
          <a:extLst>
            <a:ext uri="{FF2B5EF4-FFF2-40B4-BE49-F238E27FC236}">
              <a16:creationId xmlns:a16="http://schemas.microsoft.com/office/drawing/2014/main" id="{3E824A60-884E-4452-B489-9A90188ED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244928</xdr:colOff>
      <xdr:row>11</xdr:row>
      <xdr:rowOff>54428</xdr:rowOff>
    </xdr:from>
    <xdr:to>
      <xdr:col>7</xdr:col>
      <xdr:colOff>2093</xdr:colOff>
      <xdr:row>45</xdr:row>
      <xdr:rowOff>13607</xdr:rowOff>
    </xdr:to>
    <xdr:graphicFrame macro="">
      <xdr:nvGraphicFramePr>
        <xdr:cNvPr id="8" name="quanty,afterdiscount">
          <a:extLst>
            <a:ext uri="{FF2B5EF4-FFF2-40B4-BE49-F238E27FC236}">
              <a16:creationId xmlns:a16="http://schemas.microsoft.com/office/drawing/2014/main" id="{FEB73B4A-8CBB-4695-90C0-2C90BDAAC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85827</xdr:colOff>
      <xdr:row>3</xdr:row>
      <xdr:rowOff>190117</xdr:rowOff>
    </xdr:from>
    <xdr:to>
      <xdr:col>31</xdr:col>
      <xdr:colOff>380999</xdr:colOff>
      <xdr:row>45</xdr:row>
      <xdr:rowOff>27214</xdr:rowOff>
    </xdr:to>
    <xdr:sp macro="" textlink="">
      <xdr:nvSpPr>
        <xdr:cNvPr id="13" name="Rectangle: Rounded Corners 12">
          <a:extLst>
            <a:ext uri="{FF2B5EF4-FFF2-40B4-BE49-F238E27FC236}">
              <a16:creationId xmlns:a16="http://schemas.microsoft.com/office/drawing/2014/main" id="{E108D810-8BBB-B13F-151D-3D4DE45186FA}"/>
            </a:ext>
          </a:extLst>
        </xdr:cNvPr>
        <xdr:cNvSpPr/>
      </xdr:nvSpPr>
      <xdr:spPr>
        <a:xfrm>
          <a:off x="15393863" y="761617"/>
          <a:ext cx="3969100" cy="7838097"/>
        </a:xfrm>
        <a:prstGeom prst="roundRect">
          <a:avLst>
            <a:gd name="adj" fmla="val 814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242835</xdr:colOff>
      <xdr:row>10</xdr:row>
      <xdr:rowOff>40821</xdr:rowOff>
    </xdr:from>
    <xdr:to>
      <xdr:col>31</xdr:col>
      <xdr:colOff>176892</xdr:colOff>
      <xdr:row>19</xdr:row>
      <xdr:rowOff>116184</xdr:rowOff>
    </xdr:to>
    <mc:AlternateContent xmlns:mc="http://schemas.openxmlformats.org/markup-compatibility/2006">
      <mc:Choice xmlns:a14="http://schemas.microsoft.com/office/drawing/2010/main" Requires="a14">
        <xdr:graphicFrame macro="">
          <xdr:nvGraphicFramePr>
            <xdr:cNvPr id="10" name="Profit">
              <a:extLst>
                <a:ext uri="{FF2B5EF4-FFF2-40B4-BE49-F238E27FC236}">
                  <a16:creationId xmlns:a16="http://schemas.microsoft.com/office/drawing/2014/main" id="{3B7EF24E-81E7-6C86-983F-93F5F28E3104}"/>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15550871" y="1945821"/>
              <a:ext cx="3607985" cy="1789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274865</xdr:colOff>
      <xdr:row>20</xdr:row>
      <xdr:rowOff>85830</xdr:rowOff>
    </xdr:from>
    <xdr:to>
      <xdr:col>31</xdr:col>
      <xdr:colOff>149679</xdr:colOff>
      <xdr:row>25</xdr:row>
      <xdr:rowOff>100484</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B8111D51-5496-813E-13A6-7FD7457B031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582901" y="3895830"/>
              <a:ext cx="3548742" cy="967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312964</xdr:colOff>
      <xdr:row>26</xdr:row>
      <xdr:rowOff>93157</xdr:rowOff>
    </xdr:from>
    <xdr:to>
      <xdr:col>31</xdr:col>
      <xdr:colOff>108857</xdr:colOff>
      <xdr:row>36</xdr:row>
      <xdr:rowOff>41868</xdr:rowOff>
    </xdr:to>
    <mc:AlternateContent xmlns:mc="http://schemas.openxmlformats.org/markup-compatibility/2006">
      <mc:Choice xmlns:a14="http://schemas.microsoft.com/office/drawing/2010/main" Requires="a14">
        <xdr:graphicFrame macro="">
          <xdr:nvGraphicFramePr>
            <xdr:cNvPr id="11" name="Customer">
              <a:extLst>
                <a:ext uri="{FF2B5EF4-FFF2-40B4-BE49-F238E27FC236}">
                  <a16:creationId xmlns:a16="http://schemas.microsoft.com/office/drawing/2014/main" id="{1C30CC75-18CF-E213-B084-45A46449D8B7}"/>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15621000" y="5046157"/>
              <a:ext cx="3469821" cy="1853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341226</xdr:colOff>
      <xdr:row>4</xdr:row>
      <xdr:rowOff>163285</xdr:rowOff>
    </xdr:from>
    <xdr:to>
      <xdr:col>31</xdr:col>
      <xdr:colOff>68036</xdr:colOff>
      <xdr:row>9</xdr:row>
      <xdr:rowOff>136070</xdr:rowOff>
    </xdr:to>
    <xdr:sp macro="" textlink="">
      <xdr:nvSpPr>
        <xdr:cNvPr id="15" name="Flowchart: Punched Tape 14">
          <a:extLst>
            <a:ext uri="{FF2B5EF4-FFF2-40B4-BE49-F238E27FC236}">
              <a16:creationId xmlns:a16="http://schemas.microsoft.com/office/drawing/2014/main" id="{B769B41F-FB18-7B18-352A-639AD9B135AC}"/>
            </a:ext>
          </a:extLst>
        </xdr:cNvPr>
        <xdr:cNvSpPr/>
      </xdr:nvSpPr>
      <xdr:spPr>
        <a:xfrm>
          <a:off x="15649262" y="925285"/>
          <a:ext cx="3400738" cy="925285"/>
        </a:xfrm>
        <a:prstGeom prst="flowChartPunchedTap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3200" b="1" i="1">
              <a:latin typeface="Algerian" panose="04020705040A02060702" pitchFamily="82" charset="0"/>
            </a:rPr>
            <a:t>SALCE</a:t>
          </a:r>
          <a:r>
            <a:rPr lang="en-US" sz="3200" b="1" i="1" baseline="0">
              <a:latin typeface="Algerian" panose="04020705040A02060702" pitchFamily="82" charset="0"/>
            </a:rPr>
            <a:t> 2026 . </a:t>
          </a:r>
        </a:p>
        <a:p>
          <a:pPr algn="r"/>
          <a:endParaRPr lang="en-US" sz="3200" b="1" i="1">
            <a:latin typeface="Algerian" panose="04020705040A02060702" pitchFamily="82" charset="0"/>
          </a:endParaRPr>
        </a:p>
      </xdr:txBody>
    </xdr:sp>
    <xdr:clientData/>
  </xdr:twoCellAnchor>
  <xdr:twoCellAnchor editAs="oneCell">
    <xdr:from>
      <xdr:col>25</xdr:col>
      <xdr:colOff>342272</xdr:colOff>
      <xdr:row>5</xdr:row>
      <xdr:rowOff>95250</xdr:rowOff>
    </xdr:from>
    <xdr:to>
      <xdr:col>26</xdr:col>
      <xdr:colOff>408214</xdr:colOff>
      <xdr:row>9</xdr:row>
      <xdr:rowOff>54429</xdr:rowOff>
    </xdr:to>
    <xdr:pic>
      <xdr:nvPicPr>
        <xdr:cNvPr id="17" name="Graphic 16" descr="Boardroom with solid fill">
          <a:extLst>
            <a:ext uri="{FF2B5EF4-FFF2-40B4-BE49-F238E27FC236}">
              <a16:creationId xmlns:a16="http://schemas.microsoft.com/office/drawing/2014/main" id="{8C58A86C-0CEE-D3A8-A186-2EFE3A5A475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650308" y="1047750"/>
          <a:ext cx="678263" cy="721179"/>
        </a:xfrm>
        <a:prstGeom prst="rect">
          <a:avLst/>
        </a:prstGeom>
      </xdr:spPr>
    </xdr:pic>
    <xdr:clientData/>
  </xdr:twoCellAnchor>
  <xdr:twoCellAnchor>
    <xdr:from>
      <xdr:col>13</xdr:col>
      <xdr:colOff>442712</xdr:colOff>
      <xdr:row>11</xdr:row>
      <xdr:rowOff>53662</xdr:rowOff>
    </xdr:from>
    <xdr:to>
      <xdr:col>24</xdr:col>
      <xdr:colOff>563451</xdr:colOff>
      <xdr:row>30</xdr:row>
      <xdr:rowOff>120739</xdr:rowOff>
    </xdr:to>
    <xdr:graphicFrame macro="">
      <xdr:nvGraphicFramePr>
        <xdr:cNvPr id="3" name="Chart 2">
          <a:extLst>
            <a:ext uri="{FF2B5EF4-FFF2-40B4-BE49-F238E27FC236}">
              <a16:creationId xmlns:a16="http://schemas.microsoft.com/office/drawing/2014/main" id="{93689853-42BB-46E0-AB34-0D66816FB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326572</xdr:colOff>
      <xdr:row>36</xdr:row>
      <xdr:rowOff>163288</xdr:rowOff>
    </xdr:from>
    <xdr:to>
      <xdr:col>31</xdr:col>
      <xdr:colOff>122465</xdr:colOff>
      <xdr:row>43</xdr:row>
      <xdr:rowOff>176894</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D0877C4B-9337-E427-5AB0-A8ABDAF00C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634608" y="7021288"/>
              <a:ext cx="3469821" cy="13471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160987</xdr:colOff>
      <xdr:row>3</xdr:row>
      <xdr:rowOff>160986</xdr:rowOff>
    </xdr:from>
    <xdr:to>
      <xdr:col>6</xdr:col>
      <xdr:colOff>335388</xdr:colOff>
      <xdr:row>10</xdr:row>
      <xdr:rowOff>174401</xdr:rowOff>
    </xdr:to>
    <xdr:sp macro="" textlink="">
      <xdr:nvSpPr>
        <xdr:cNvPr id="20" name="Rectangle: Rounded Corners 19">
          <a:extLst>
            <a:ext uri="{FF2B5EF4-FFF2-40B4-BE49-F238E27FC236}">
              <a16:creationId xmlns:a16="http://schemas.microsoft.com/office/drawing/2014/main" id="{8525039A-6A96-47DD-948E-BA510795D8B5}"/>
            </a:ext>
          </a:extLst>
        </xdr:cNvPr>
        <xdr:cNvSpPr/>
      </xdr:nvSpPr>
      <xdr:spPr>
        <a:xfrm>
          <a:off x="1368381" y="724437"/>
          <a:ext cx="2589190" cy="132813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600" b="1">
              <a:solidFill>
                <a:schemeClr val="accent1">
                  <a:lumMod val="60000"/>
                  <a:lumOff val="40000"/>
                </a:schemeClr>
              </a:solidFill>
            </a:rPr>
            <a:t>      90.0 %</a:t>
          </a:r>
        </a:p>
      </xdr:txBody>
    </xdr:sp>
    <xdr:clientData/>
  </xdr:twoCellAnchor>
  <xdr:twoCellAnchor>
    <xdr:from>
      <xdr:col>11</xdr:col>
      <xdr:colOff>295142</xdr:colOff>
      <xdr:row>3</xdr:row>
      <xdr:rowOff>120738</xdr:rowOff>
    </xdr:from>
    <xdr:to>
      <xdr:col>15</xdr:col>
      <xdr:colOff>576866</xdr:colOff>
      <xdr:row>10</xdr:row>
      <xdr:rowOff>147570</xdr:rowOff>
    </xdr:to>
    <xdr:sp macro="" textlink="">
      <xdr:nvSpPr>
        <xdr:cNvPr id="22" name="Rectangle: Rounded Corners 21">
          <a:extLst>
            <a:ext uri="{FF2B5EF4-FFF2-40B4-BE49-F238E27FC236}">
              <a16:creationId xmlns:a16="http://schemas.microsoft.com/office/drawing/2014/main" id="{4F7CBFBC-03A0-44D6-9C69-6CF2FB306632}"/>
            </a:ext>
          </a:extLst>
        </xdr:cNvPr>
        <xdr:cNvSpPr/>
      </xdr:nvSpPr>
      <xdr:spPr>
        <a:xfrm>
          <a:off x="6935811" y="684189"/>
          <a:ext cx="2696513" cy="134155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600" b="1">
              <a:solidFill>
                <a:schemeClr val="accent1">
                  <a:lumMod val="60000"/>
                  <a:lumOff val="40000"/>
                </a:schemeClr>
              </a:solidFill>
            </a:rPr>
            <a:t>     12.4M</a:t>
          </a:r>
        </a:p>
      </xdr:txBody>
    </xdr:sp>
    <xdr:clientData/>
  </xdr:twoCellAnchor>
  <xdr:twoCellAnchor>
    <xdr:from>
      <xdr:col>6</xdr:col>
      <xdr:colOff>469542</xdr:colOff>
      <xdr:row>3</xdr:row>
      <xdr:rowOff>147569</xdr:rowOff>
    </xdr:from>
    <xdr:to>
      <xdr:col>11</xdr:col>
      <xdr:colOff>201232</xdr:colOff>
      <xdr:row>10</xdr:row>
      <xdr:rowOff>174401</xdr:rowOff>
    </xdr:to>
    <xdr:sp macro="" textlink="">
      <xdr:nvSpPr>
        <xdr:cNvPr id="23" name="Rectangle: Rounded Corners 22">
          <a:extLst>
            <a:ext uri="{FF2B5EF4-FFF2-40B4-BE49-F238E27FC236}">
              <a16:creationId xmlns:a16="http://schemas.microsoft.com/office/drawing/2014/main" id="{ABDAA81D-F22E-48B7-95BE-D82A8E4E1743}"/>
            </a:ext>
          </a:extLst>
        </xdr:cNvPr>
        <xdr:cNvSpPr/>
      </xdr:nvSpPr>
      <xdr:spPr>
        <a:xfrm>
          <a:off x="4091725" y="711020"/>
          <a:ext cx="2750176" cy="134155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600" b="1">
              <a:solidFill>
                <a:schemeClr val="accent1">
                  <a:lumMod val="60000"/>
                  <a:lumOff val="40000"/>
                </a:schemeClr>
              </a:solidFill>
            </a:rPr>
            <a:t>        13.2M</a:t>
          </a:r>
        </a:p>
      </xdr:txBody>
    </xdr:sp>
    <xdr:clientData/>
  </xdr:twoCellAnchor>
  <xdr:twoCellAnchor>
    <xdr:from>
      <xdr:col>20</xdr:col>
      <xdr:colOff>415881</xdr:colOff>
      <xdr:row>3</xdr:row>
      <xdr:rowOff>134155</xdr:rowOff>
    </xdr:from>
    <xdr:to>
      <xdr:col>24</xdr:col>
      <xdr:colOff>537003</xdr:colOff>
      <xdr:row>11</xdr:row>
      <xdr:rowOff>0</xdr:rowOff>
    </xdr:to>
    <xdr:sp macro="" textlink="">
      <xdr:nvSpPr>
        <xdr:cNvPr id="27" name="Rectangle: Rounded Corners 26">
          <a:extLst>
            <a:ext uri="{FF2B5EF4-FFF2-40B4-BE49-F238E27FC236}">
              <a16:creationId xmlns:a16="http://schemas.microsoft.com/office/drawing/2014/main" id="{DECE5DDD-EC68-4C99-9054-527251A024B2}"/>
            </a:ext>
          </a:extLst>
        </xdr:cNvPr>
        <xdr:cNvSpPr/>
      </xdr:nvSpPr>
      <xdr:spPr>
        <a:xfrm>
          <a:off x="12489825" y="697606"/>
          <a:ext cx="2535910" cy="136838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accent1">
                  <a:lumMod val="60000"/>
                  <a:lumOff val="40000"/>
                </a:schemeClr>
              </a:solidFill>
            </a:rPr>
            <a:t>     </a:t>
          </a:r>
        </a:p>
        <a:p>
          <a:pPr algn="ctr"/>
          <a:r>
            <a:rPr lang="en-US" sz="3600" b="1">
              <a:solidFill>
                <a:schemeClr val="accent1">
                  <a:lumMod val="60000"/>
                  <a:lumOff val="40000"/>
                </a:schemeClr>
              </a:solidFill>
            </a:rPr>
            <a:t>    101.0 %</a:t>
          </a:r>
        </a:p>
        <a:p>
          <a:pPr algn="ctr"/>
          <a:endParaRPr lang="en-US" sz="3600" b="1">
            <a:solidFill>
              <a:schemeClr val="accent1">
                <a:lumMod val="60000"/>
                <a:lumOff val="40000"/>
              </a:schemeClr>
            </a:solidFill>
          </a:endParaRPr>
        </a:p>
      </xdr:txBody>
    </xdr:sp>
    <xdr:clientData/>
  </xdr:twoCellAnchor>
  <xdr:twoCellAnchor>
    <xdr:from>
      <xdr:col>16</xdr:col>
      <xdr:colOff>93908</xdr:colOff>
      <xdr:row>3</xdr:row>
      <xdr:rowOff>120739</xdr:rowOff>
    </xdr:from>
    <xdr:to>
      <xdr:col>20</xdr:col>
      <xdr:colOff>335387</xdr:colOff>
      <xdr:row>11</xdr:row>
      <xdr:rowOff>0</xdr:rowOff>
    </xdr:to>
    <xdr:sp macro="" textlink="">
      <xdr:nvSpPr>
        <xdr:cNvPr id="26" name="Rectangle: Rounded Corners 25">
          <a:extLst>
            <a:ext uri="{FF2B5EF4-FFF2-40B4-BE49-F238E27FC236}">
              <a16:creationId xmlns:a16="http://schemas.microsoft.com/office/drawing/2014/main" id="{01C3AE6D-3EB2-48FB-A718-4CB4A0BD1E9B}"/>
            </a:ext>
          </a:extLst>
        </xdr:cNvPr>
        <xdr:cNvSpPr/>
      </xdr:nvSpPr>
      <xdr:spPr>
        <a:xfrm>
          <a:off x="9753063" y="684190"/>
          <a:ext cx="2656268" cy="138179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3600" b="1">
              <a:solidFill>
                <a:schemeClr val="accent1">
                  <a:lumMod val="60000"/>
                  <a:lumOff val="40000"/>
                </a:schemeClr>
              </a:solidFill>
            </a:rPr>
            <a:t>150.3K</a:t>
          </a:r>
          <a:r>
            <a:rPr lang="en-US" sz="3600" b="1" baseline="0">
              <a:solidFill>
                <a:schemeClr val="accent1">
                  <a:lumMod val="60000"/>
                  <a:lumOff val="40000"/>
                </a:schemeClr>
              </a:solidFill>
            </a:rPr>
            <a:t> </a:t>
          </a:r>
          <a:r>
            <a:rPr lang="en-US" sz="3600" b="1">
              <a:solidFill>
                <a:schemeClr val="accent1">
                  <a:lumMod val="60000"/>
                  <a:lumOff val="40000"/>
                </a:schemeClr>
              </a:solidFill>
            </a:rPr>
            <a:t>$   </a:t>
          </a:r>
        </a:p>
      </xdr:txBody>
    </xdr:sp>
    <xdr:clientData/>
  </xdr:twoCellAnchor>
  <xdr:twoCellAnchor editAs="oneCell">
    <xdr:from>
      <xdr:col>20</xdr:col>
      <xdr:colOff>389049</xdr:colOff>
      <xdr:row>3</xdr:row>
      <xdr:rowOff>147570</xdr:rowOff>
    </xdr:from>
    <xdr:to>
      <xdr:col>21</xdr:col>
      <xdr:colOff>590282</xdr:colOff>
      <xdr:row>7</xdr:row>
      <xdr:rowOff>67078</xdr:rowOff>
    </xdr:to>
    <xdr:pic>
      <xdr:nvPicPr>
        <xdr:cNvPr id="6" name="Graphic 5" descr="Bar chart with solid fill">
          <a:extLst>
            <a:ext uri="{FF2B5EF4-FFF2-40B4-BE49-F238E27FC236}">
              <a16:creationId xmlns:a16="http://schemas.microsoft.com/office/drawing/2014/main" id="{6A65D2C7-ADA5-C322-DD6A-1D4DBD9F0C6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462993" y="711021"/>
          <a:ext cx="804930" cy="670775"/>
        </a:xfrm>
        <a:prstGeom prst="rect">
          <a:avLst/>
        </a:prstGeom>
      </xdr:spPr>
    </xdr:pic>
    <xdr:clientData/>
  </xdr:twoCellAnchor>
  <xdr:twoCellAnchor editAs="oneCell">
    <xdr:from>
      <xdr:col>16</xdr:col>
      <xdr:colOff>228064</xdr:colOff>
      <xdr:row>3</xdr:row>
      <xdr:rowOff>174400</xdr:rowOff>
    </xdr:from>
    <xdr:to>
      <xdr:col>17</xdr:col>
      <xdr:colOff>396581</xdr:colOff>
      <xdr:row>8</xdr:row>
      <xdr:rowOff>26831</xdr:rowOff>
    </xdr:to>
    <xdr:pic>
      <xdr:nvPicPr>
        <xdr:cNvPr id="18" name="Graphic 17" descr="Coins with solid fill">
          <a:extLst>
            <a:ext uri="{FF2B5EF4-FFF2-40B4-BE49-F238E27FC236}">
              <a16:creationId xmlns:a16="http://schemas.microsoft.com/office/drawing/2014/main" id="{5EA2CD7F-FFF0-48EB-91D8-5ED0429FADB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887219" y="737851"/>
          <a:ext cx="772214" cy="791515"/>
        </a:xfrm>
        <a:prstGeom prst="rect">
          <a:avLst/>
        </a:prstGeom>
      </xdr:spPr>
    </xdr:pic>
    <xdr:clientData/>
  </xdr:twoCellAnchor>
  <xdr:twoCellAnchor editAs="oneCell">
    <xdr:from>
      <xdr:col>11</xdr:col>
      <xdr:colOff>375635</xdr:colOff>
      <xdr:row>3</xdr:row>
      <xdr:rowOff>147571</xdr:rowOff>
    </xdr:from>
    <xdr:to>
      <xdr:col>12</xdr:col>
      <xdr:colOff>563452</xdr:colOff>
      <xdr:row>8</xdr:row>
      <xdr:rowOff>1</xdr:rowOff>
    </xdr:to>
    <xdr:pic>
      <xdr:nvPicPr>
        <xdr:cNvPr id="21" name="Graphic 20" descr="Shopping cart with solid fill">
          <a:extLst>
            <a:ext uri="{FF2B5EF4-FFF2-40B4-BE49-F238E27FC236}">
              <a16:creationId xmlns:a16="http://schemas.microsoft.com/office/drawing/2014/main" id="{295FB2E9-20CC-4195-B5E1-DFEF7AA7F59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16304" y="711022"/>
          <a:ext cx="791514" cy="791514"/>
        </a:xfrm>
        <a:prstGeom prst="rect">
          <a:avLst/>
        </a:prstGeom>
      </xdr:spPr>
    </xdr:pic>
    <xdr:clientData/>
  </xdr:twoCellAnchor>
  <xdr:twoCellAnchor editAs="oneCell">
    <xdr:from>
      <xdr:col>6</xdr:col>
      <xdr:colOff>550035</xdr:colOff>
      <xdr:row>3</xdr:row>
      <xdr:rowOff>160985</xdr:rowOff>
    </xdr:from>
    <xdr:to>
      <xdr:col>8</xdr:col>
      <xdr:colOff>174402</xdr:colOff>
      <xdr:row>8</xdr:row>
      <xdr:rowOff>53662</xdr:rowOff>
    </xdr:to>
    <xdr:pic>
      <xdr:nvPicPr>
        <xdr:cNvPr id="24" name="Graphic 23" descr="Bar graph with downward trend with solid fill">
          <a:extLst>
            <a:ext uri="{FF2B5EF4-FFF2-40B4-BE49-F238E27FC236}">
              <a16:creationId xmlns:a16="http://schemas.microsoft.com/office/drawing/2014/main" id="{29D67523-8D3B-4608-9D05-FA432433039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172218" y="724436"/>
          <a:ext cx="831761" cy="831761"/>
        </a:xfrm>
        <a:prstGeom prst="rect">
          <a:avLst/>
        </a:prstGeom>
      </xdr:spPr>
    </xdr:pic>
    <xdr:clientData/>
  </xdr:twoCellAnchor>
  <xdr:twoCellAnchor editAs="oneCell">
    <xdr:from>
      <xdr:col>2</xdr:col>
      <xdr:colOff>201233</xdr:colOff>
      <xdr:row>4</xdr:row>
      <xdr:rowOff>0</xdr:rowOff>
    </xdr:from>
    <xdr:to>
      <xdr:col>3</xdr:col>
      <xdr:colOff>412622</xdr:colOff>
      <xdr:row>8</xdr:row>
      <xdr:rowOff>80493</xdr:rowOff>
    </xdr:to>
    <xdr:pic>
      <xdr:nvPicPr>
        <xdr:cNvPr id="28" name="Graphic 27" descr="Clock with solid fill">
          <a:extLst>
            <a:ext uri="{FF2B5EF4-FFF2-40B4-BE49-F238E27FC236}">
              <a16:creationId xmlns:a16="http://schemas.microsoft.com/office/drawing/2014/main" id="{7ADDB61F-0E3F-4C6F-B104-5A55A0AAEEE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08627" y="751268"/>
          <a:ext cx="815087" cy="831760"/>
        </a:xfrm>
        <a:prstGeom prst="rect">
          <a:avLst/>
        </a:prstGeom>
      </xdr:spPr>
    </xdr:pic>
    <xdr:clientData/>
  </xdr:twoCellAnchor>
  <xdr:twoCellAnchor editAs="oneCell">
    <xdr:from>
      <xdr:col>35</xdr:col>
      <xdr:colOff>0</xdr:colOff>
      <xdr:row>38</xdr:row>
      <xdr:rowOff>0</xdr:rowOff>
    </xdr:from>
    <xdr:to>
      <xdr:col>37</xdr:col>
      <xdr:colOff>9525</xdr:colOff>
      <xdr:row>39</xdr:row>
      <xdr:rowOff>57150</xdr:rowOff>
    </xdr:to>
    <xdr:pic>
      <xdr:nvPicPr>
        <xdr:cNvPr id="29" name="Picture 28">
          <a:extLst>
            <a:ext uri="{FF2B5EF4-FFF2-40B4-BE49-F238E27FC236}">
              <a16:creationId xmlns:a16="http://schemas.microsoft.com/office/drawing/2014/main" id="{69380D4D-A9DD-1D01-0A5B-EEAF5DD79BC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21336000" y="7239000"/>
          <a:ext cx="12287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38</xdr:row>
      <xdr:rowOff>0</xdr:rowOff>
    </xdr:from>
    <xdr:to>
      <xdr:col>37</xdr:col>
      <xdr:colOff>9525</xdr:colOff>
      <xdr:row>39</xdr:row>
      <xdr:rowOff>57150</xdr:rowOff>
    </xdr:to>
    <xdr:pic>
      <xdr:nvPicPr>
        <xdr:cNvPr id="32" name="Picture 31">
          <a:extLst>
            <a:ext uri="{FF2B5EF4-FFF2-40B4-BE49-F238E27FC236}">
              <a16:creationId xmlns:a16="http://schemas.microsoft.com/office/drawing/2014/main" id="{92568232-C1CD-CFEC-4245-6FD93AD6D832}"/>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1336000" y="7239000"/>
          <a:ext cx="12287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10.533546874998" backgroundQuery="1" createdVersion="8" refreshedVersion="8" minRefreshableVersion="3" recordCount="0" supportSubquery="1" supportAdvancedDrill="1" xr:uid="{8F4A2D31-4E34-42DD-934B-600F7BFA71D1}">
  <cacheSource type="external" connectionId="1"/>
  <cacheFields count="3">
    <cacheField name="[SALCE].[Product].[Product]" caption="Product" numFmtId="0" hierarchy="4" level="1">
      <sharedItems count="6">
        <s v="Headset"/>
        <s v="Keyboard"/>
        <s v="Laptop"/>
        <s v="Monitor"/>
        <s v="Mouse"/>
        <s v="Printer"/>
      </sharedItems>
    </cacheField>
    <cacheField name="[Measures].[Sum of Discount_%]" caption="Sum of Discount_%" numFmtId="0" hierarchy="29" level="32767"/>
    <cacheField name="[SALCE].[Customer].[Customer]" caption="Customer" numFmtId="0" hierarchy="17" level="1">
      <sharedItems containsSemiMixedTypes="0" containsNonDate="0" containsString="0"/>
    </cacheField>
  </cacheFields>
  <cacheHierarchies count="32">
    <cacheHierarchy uniqueName="[SALCE].[Order_ID]" caption="Order_ID" attribute="1" defaultMemberUniqueName="[SALCE].[Order_ID].[All]" allUniqueName="[SALCE].[Order_ID].[All]" dimensionUniqueName="[SALCE]" displayFolder="" count="0" memberValueDatatype="20" unbalanced="0"/>
    <cacheHierarchy uniqueName="[SALCE].[Date]" caption="Date" attribute="1" time="1" defaultMemberUniqueName="[SALCE].[Date].[All]" allUniqueName="[SALCE].[Date].[All]" dimensionUniqueName="[SALCE]" displayFolder="" count="0" memberValueDatatype="7" unbalanced="0"/>
    <cacheHierarchy uniqueName="[SALCE].[Region]" caption="Region" attribute="1" defaultMemberUniqueName="[SALCE].[Region].[All]" allUniqueName="[SALCE].[Region].[All]" dimensionUniqueName="[SALCE]" displayFolder="" count="2" memberValueDatatype="130" unbalanced="0"/>
    <cacheHierarchy uniqueName="[SALCE].[Salesperson]" caption="Salesperson" attribute="1" defaultMemberUniqueName="[SALCE].[Salesperson].[All]" allUniqueName="[SALCE].[Salesperson].[All]" dimensionUniqueName="[SALCE]" displayFolder="" count="0" memberValueDatatype="130" unbalanced="0"/>
    <cacheHierarchy uniqueName="[SALCE].[Product]" caption="Product" attribute="1" defaultMemberUniqueName="[SALCE].[Product].[All]" allUniqueName="[SALCE].[Product].[All]" dimensionUniqueName="[SALCE]" displayFolder="" count="2" memberValueDatatype="130" unbalanced="0">
      <fieldsUsage count="2">
        <fieldUsage x="-1"/>
        <fieldUsage x="0"/>
      </fieldsUsage>
    </cacheHierarchy>
    <cacheHierarchy uniqueName="[SALCE].[Category]" caption="Category" attribute="1" defaultMemberUniqueName="[SALCE].[Category].[All]" allUniqueName="[SALCE].[Category].[All]" dimensionUniqueName="[SALCE]" displayFolder="" count="0" memberValueDatatype="130" unbalanced="0"/>
    <cacheHierarchy uniqueName="[SALCE].[Quantity]" caption="Quantity" attribute="1" defaultMemberUniqueName="[SALCE].[Quantity].[All]" allUniqueName="[SALCE].[Quantity].[All]" dimensionUniqueName="[SALCE]" displayFolder="" count="0" memberValueDatatype="20" unbalanced="0"/>
    <cacheHierarchy uniqueName="[SALCE].[Unit_Price]" caption="Unit_Price" attribute="1" defaultMemberUniqueName="[SALCE].[Unit_Price].[All]" allUniqueName="[SALCE].[Unit_Price].[All]" dimensionUniqueName="[SALCE]" displayFolder="" count="0" memberValueDatatype="20" unbalanced="0"/>
    <cacheHierarchy uniqueName="[SALCE].[Discount_%]" caption="Discount_%" attribute="1" defaultMemberUniqueName="[SALCE].[Discount_%].[All]" allUniqueName="[SALCE].[Discount_%].[All]" dimensionUniqueName="[SALCE]" displayFolder="" count="0" memberValueDatatype="20" unbalanced="0"/>
    <cacheHierarchy uniqueName="[SALCE].[Tax_Value]" caption="Tax_Value" attribute="1" defaultMemberUniqueName="[SALCE].[Tax_Value].[All]" allUniqueName="[SALCE].[Tax_Value].[All]" dimensionUniqueName="[SALCE]" displayFolder="" count="0" memberValueDatatype="5" unbalanced="0"/>
    <cacheHierarchy uniqueName="[SALCE].[Tax_%]" caption="Tax_%" attribute="1" defaultMemberUniqueName="[SALCE].[Tax_%].[All]" allUniqueName="[SALCE].[Tax_%].[All]" dimensionUniqueName="[SALCE]" displayFolder="" count="0" memberValueDatatype="5" unbalanced="0"/>
    <cacheHierarchy uniqueName="[SALCE].[Gross_Sales]" caption="Gross_Sales" attribute="1" defaultMemberUniqueName="[SALCE].[Gross_Sales].[All]" allUniqueName="[SALCE].[Gross_Sales].[All]" dimensionUniqueName="[SALCE]" displayFolder="" count="0" memberValueDatatype="20" unbalanced="0"/>
    <cacheHierarchy uniqueName="[SALCE].[Discount_Value]" caption="Discount_Value" attribute="1" defaultMemberUniqueName="[SALCE].[Discount_Value].[All]" allUniqueName="[SALCE].[Discount_Value].[All]" dimensionUniqueName="[SALCE]" displayFolder="" count="0" memberValueDatatype="20" unbalanced="0"/>
    <cacheHierarchy uniqueName="[SALCE].[Net_Sales]" caption="Net_Sales" attribute="1" defaultMemberUniqueName="[SALCE].[Net_Sales].[All]" allUniqueName="[SALCE].[Net_Sales].[All]" dimensionUniqueName="[SALCE]" displayFolder="" count="0" memberValueDatatype="5" unbalanced="0"/>
    <cacheHierarchy uniqueName="[SALCE].[Cost_Price]" caption="Cost_Price" attribute="1" defaultMemberUniqueName="[SALCE].[Cost_Price].[All]" allUniqueName="[SALCE].[Cost_Price].[All]" dimensionUniqueName="[SALCE]" displayFolder="" count="0" memberValueDatatype="5" unbalanced="0"/>
    <cacheHierarchy uniqueName="[SALCE].[Profit]" caption="Profit" attribute="1" defaultMemberUniqueName="[SALCE].[Profit].[All]" allUniqueName="[SALCE].[Profit].[All]" dimensionUniqueName="[SALCE]" displayFolder="" count="2" memberValueDatatype="5" unbalanced="0"/>
    <cacheHierarchy uniqueName="[SALCE].[After_Discount]" caption="After_Discount" attribute="1" defaultMemberUniqueName="[SALCE].[After_Discount].[All]" allUniqueName="[SALCE].[After_Discount].[All]" dimensionUniqueName="[SALCE]" displayFolder="" count="0" memberValueDatatype="20" unbalanced="0"/>
    <cacheHierarchy uniqueName="[SALCE].[Customer]" caption="Customer" attribute="1" defaultMemberUniqueName="[SALCE].[Customer].[All]" allUniqueName="[SALCE].[Customer].[All]" dimensionUniqueName="[SALCE]" displayFolder="" count="2" memberValueDatatype="130" unbalanced="0">
      <fieldsUsage count="2">
        <fieldUsage x="-1"/>
        <fieldUsage x="2"/>
      </fieldsUsage>
    </cacheHierarchy>
    <cacheHierarchy uniqueName="[SALCE].[Payment_Method]" caption="Payment_Method" attribute="1" defaultMemberUniqueName="[SALCE].[Payment_Method].[All]" allUniqueName="[SALCE].[Payment_Method].[All]" dimensionUniqueName="[SALCE]" displayFolder="" count="0" memberValueDatatype="130" unbalanced="0"/>
    <cacheHierarchy uniqueName="[SALCE].[Customer_Type]" caption="Customer_Type" attribute="1" defaultMemberUniqueName="[SALCE].[Customer_Type].[All]" allUniqueName="[SALCE].[Customer_Type].[All]" dimensionUniqueName="[SALCE]" displayFolder="" count="0" memberValueDatatype="130" unbalanced="0"/>
    <cacheHierarchy uniqueName="[Measures].[__XL_Count SALCE]" caption="__XL_Count SALCE" measure="1" displayFolder="" measureGroup="SALCE" count="0" hidden="1"/>
    <cacheHierarchy uniqueName="[Measures].[__No measures defined]" caption="__No measures defined" measure="1" displayFolder="" count="0" hidden="1"/>
    <cacheHierarchy uniqueName="[Measures].[Sum of Profit]" caption="Sum of Profit" measure="1" displayFolder="" measureGroup="SALCE" count="0" hidden="1">
      <extLst>
        <ext xmlns:x15="http://schemas.microsoft.com/office/spreadsheetml/2010/11/main" uri="{B97F6D7D-B522-45F9-BDA1-12C45D357490}">
          <x15:cacheHierarchy aggregatedColumn="15"/>
        </ext>
      </extLst>
    </cacheHierarchy>
    <cacheHierarchy uniqueName="[Measures].[Sum of Unit_Price]" caption="Sum of Unit_Price" measure="1" displayFolder="" measureGroup="SALCE" count="0" hidden="1">
      <extLst>
        <ext xmlns:x15="http://schemas.microsoft.com/office/spreadsheetml/2010/11/main" uri="{B97F6D7D-B522-45F9-BDA1-12C45D357490}">
          <x15:cacheHierarchy aggregatedColumn="7"/>
        </ext>
      </extLst>
    </cacheHierarchy>
    <cacheHierarchy uniqueName="[Measures].[Sum of Tax_Value]" caption="Sum of Tax_Value" measure="1" displayFolder="" measureGroup="SALCE" count="0" hidden="1">
      <extLst>
        <ext xmlns:x15="http://schemas.microsoft.com/office/spreadsheetml/2010/11/main" uri="{B97F6D7D-B522-45F9-BDA1-12C45D357490}">
          <x15:cacheHierarchy aggregatedColumn="9"/>
        </ext>
      </extLst>
    </cacheHierarchy>
    <cacheHierarchy uniqueName="[Measures].[Sum of Net_Sales]" caption="Sum of Net_Sales" measure="1" displayFolder="" measureGroup="SALCE" count="0" hidden="1">
      <extLst>
        <ext xmlns:x15="http://schemas.microsoft.com/office/spreadsheetml/2010/11/main" uri="{B97F6D7D-B522-45F9-BDA1-12C45D357490}">
          <x15:cacheHierarchy aggregatedColumn="13"/>
        </ext>
      </extLst>
    </cacheHierarchy>
    <cacheHierarchy uniqueName="[Measures].[Sum of Discount_Value]" caption="Sum of Discount_Value" measure="1" displayFolder="" measureGroup="SALCE" count="0" hidden="1">
      <extLst>
        <ext xmlns:x15="http://schemas.microsoft.com/office/spreadsheetml/2010/11/main" uri="{B97F6D7D-B522-45F9-BDA1-12C45D357490}">
          <x15:cacheHierarchy aggregatedColumn="12"/>
        </ext>
      </extLst>
    </cacheHierarchy>
    <cacheHierarchy uniqueName="[Measures].[Sum of Gross_Sales]" caption="Sum of Gross_Sales" measure="1" displayFolder="" measureGroup="SALC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SALCE" count="0" hidden="1">
      <extLst>
        <ext xmlns:x15="http://schemas.microsoft.com/office/spreadsheetml/2010/11/main" uri="{B97F6D7D-B522-45F9-BDA1-12C45D357490}">
          <x15:cacheHierarchy aggregatedColumn="6"/>
        </ext>
      </extLst>
    </cacheHierarchy>
    <cacheHierarchy uniqueName="[Measures].[Sum of Discount_%]" caption="Sum of Discount_%" measure="1" displayFolder="" measureGroup="SALC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fter_Discount]" caption="Sum of After_Discount" measure="1" displayFolder="" measureGroup="SALCE" count="0" hidden="1">
      <extLst>
        <ext xmlns:x15="http://schemas.microsoft.com/office/spreadsheetml/2010/11/main" uri="{B97F6D7D-B522-45F9-BDA1-12C45D357490}">
          <x15:cacheHierarchy aggregatedColumn="16"/>
        </ext>
      </extLst>
    </cacheHierarchy>
    <cacheHierarchy uniqueName="[Measures].[Sum of Cost_Price]" caption="Sum of Cost_Price" measure="1" displayFolder="" measureGroup="SALC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CE" uniqueName="[SALCE]" caption="SALCE"/>
  </dimensions>
  <measureGroups count="1">
    <measureGroup name="SALCE" caption="SAL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10.533547106483" backgroundQuery="1" createdVersion="8" refreshedVersion="8" minRefreshableVersion="3" recordCount="0" supportSubquery="1" supportAdvancedDrill="1" xr:uid="{9BF72007-8B16-4FEC-9ED3-8073CB0F5E01}">
  <cacheSource type="external" connectionId="1"/>
  <cacheFields count="4">
    <cacheField name="[SALCE].[Product].[Product]" caption="Product" numFmtId="0" hierarchy="4" level="1">
      <sharedItems count="6">
        <s v="Headset"/>
        <s v="Keyboard"/>
        <s v="Laptop"/>
        <s v="Monitor"/>
        <s v="Mouse"/>
        <s v="Printer"/>
      </sharedItems>
    </cacheField>
    <cacheField name="[Measures].[Sum of Unit_Price]" caption="Sum of Unit_Price" numFmtId="0" hierarchy="23" level="32767"/>
    <cacheField name="[Measures].[Sum of Gross_Sales]" caption="Sum of Gross_Sales" numFmtId="0" hierarchy="27" level="32767"/>
    <cacheField name="[SALCE].[Customer].[Customer]" caption="Customer" numFmtId="0" hierarchy="17" level="1">
      <sharedItems containsSemiMixedTypes="0" containsNonDate="0" containsString="0"/>
    </cacheField>
  </cacheFields>
  <cacheHierarchies count="32">
    <cacheHierarchy uniqueName="[SALCE].[Order_ID]" caption="Order_ID" attribute="1" defaultMemberUniqueName="[SALCE].[Order_ID].[All]" allUniqueName="[SALCE].[Order_ID].[All]" dimensionUniqueName="[SALCE]" displayFolder="" count="0" memberValueDatatype="20" unbalanced="0"/>
    <cacheHierarchy uniqueName="[SALCE].[Date]" caption="Date" attribute="1" time="1" defaultMemberUniqueName="[SALCE].[Date].[All]" allUniqueName="[SALCE].[Date].[All]" dimensionUniqueName="[SALCE]" displayFolder="" count="0" memberValueDatatype="7" unbalanced="0"/>
    <cacheHierarchy uniqueName="[SALCE].[Region]" caption="Region" attribute="1" defaultMemberUniqueName="[SALCE].[Region].[All]" allUniqueName="[SALCE].[Region].[All]" dimensionUniqueName="[SALCE]" displayFolder="" count="2" memberValueDatatype="130" unbalanced="0"/>
    <cacheHierarchy uniqueName="[SALCE].[Salesperson]" caption="Salesperson" attribute="1" defaultMemberUniqueName="[SALCE].[Salesperson].[All]" allUniqueName="[SALCE].[Salesperson].[All]" dimensionUniqueName="[SALCE]" displayFolder="" count="0" memberValueDatatype="130" unbalanced="0"/>
    <cacheHierarchy uniqueName="[SALCE].[Product]" caption="Product" attribute="1" defaultMemberUniqueName="[SALCE].[Product].[All]" allUniqueName="[SALCE].[Product].[All]" dimensionUniqueName="[SALCE]" displayFolder="" count="2" memberValueDatatype="130" unbalanced="0">
      <fieldsUsage count="2">
        <fieldUsage x="-1"/>
        <fieldUsage x="0"/>
      </fieldsUsage>
    </cacheHierarchy>
    <cacheHierarchy uniqueName="[SALCE].[Category]" caption="Category" attribute="1" defaultMemberUniqueName="[SALCE].[Category].[All]" allUniqueName="[SALCE].[Category].[All]" dimensionUniqueName="[SALCE]" displayFolder="" count="0" memberValueDatatype="130" unbalanced="0"/>
    <cacheHierarchy uniqueName="[SALCE].[Quantity]" caption="Quantity" attribute="1" defaultMemberUniqueName="[SALCE].[Quantity].[All]" allUniqueName="[SALCE].[Quantity].[All]" dimensionUniqueName="[SALCE]" displayFolder="" count="0" memberValueDatatype="20" unbalanced="0"/>
    <cacheHierarchy uniqueName="[SALCE].[Unit_Price]" caption="Unit_Price" attribute="1" defaultMemberUniqueName="[SALCE].[Unit_Price].[All]" allUniqueName="[SALCE].[Unit_Price].[All]" dimensionUniqueName="[SALCE]" displayFolder="" count="0" memberValueDatatype="20" unbalanced="0"/>
    <cacheHierarchy uniqueName="[SALCE].[Discount_%]" caption="Discount_%" attribute="1" defaultMemberUniqueName="[SALCE].[Discount_%].[All]" allUniqueName="[SALCE].[Discount_%].[All]" dimensionUniqueName="[SALCE]" displayFolder="" count="0" memberValueDatatype="20" unbalanced="0"/>
    <cacheHierarchy uniqueName="[SALCE].[Tax_Value]" caption="Tax_Value" attribute="1" defaultMemberUniqueName="[SALCE].[Tax_Value].[All]" allUniqueName="[SALCE].[Tax_Value].[All]" dimensionUniqueName="[SALCE]" displayFolder="" count="0" memberValueDatatype="5" unbalanced="0"/>
    <cacheHierarchy uniqueName="[SALCE].[Tax_%]" caption="Tax_%" attribute="1" defaultMemberUniqueName="[SALCE].[Tax_%].[All]" allUniqueName="[SALCE].[Tax_%].[All]" dimensionUniqueName="[SALCE]" displayFolder="" count="0" memberValueDatatype="5" unbalanced="0"/>
    <cacheHierarchy uniqueName="[SALCE].[Gross_Sales]" caption="Gross_Sales" attribute="1" defaultMemberUniqueName="[SALCE].[Gross_Sales].[All]" allUniqueName="[SALCE].[Gross_Sales].[All]" dimensionUniqueName="[SALCE]" displayFolder="" count="0" memberValueDatatype="20" unbalanced="0"/>
    <cacheHierarchy uniqueName="[SALCE].[Discount_Value]" caption="Discount_Value" attribute="1" defaultMemberUniqueName="[SALCE].[Discount_Value].[All]" allUniqueName="[SALCE].[Discount_Value].[All]" dimensionUniqueName="[SALCE]" displayFolder="" count="0" memberValueDatatype="20" unbalanced="0"/>
    <cacheHierarchy uniqueName="[SALCE].[Net_Sales]" caption="Net_Sales" attribute="1" defaultMemberUniqueName="[SALCE].[Net_Sales].[All]" allUniqueName="[SALCE].[Net_Sales].[All]" dimensionUniqueName="[SALCE]" displayFolder="" count="0" memberValueDatatype="5" unbalanced="0"/>
    <cacheHierarchy uniqueName="[SALCE].[Cost_Price]" caption="Cost_Price" attribute="1" defaultMemberUniqueName="[SALCE].[Cost_Price].[All]" allUniqueName="[SALCE].[Cost_Price].[All]" dimensionUniqueName="[SALCE]" displayFolder="" count="0" memberValueDatatype="5" unbalanced="0"/>
    <cacheHierarchy uniqueName="[SALCE].[Profit]" caption="Profit" attribute="1" defaultMemberUniqueName="[SALCE].[Profit].[All]" allUniqueName="[SALCE].[Profit].[All]" dimensionUniqueName="[SALCE]" displayFolder="" count="2" memberValueDatatype="5" unbalanced="0"/>
    <cacheHierarchy uniqueName="[SALCE].[After_Discount]" caption="After_Discount" attribute="1" defaultMemberUniqueName="[SALCE].[After_Discount].[All]" allUniqueName="[SALCE].[After_Discount].[All]" dimensionUniqueName="[SALCE]" displayFolder="" count="0" memberValueDatatype="20" unbalanced="0"/>
    <cacheHierarchy uniqueName="[SALCE].[Customer]" caption="Customer" attribute="1" defaultMemberUniqueName="[SALCE].[Customer].[All]" allUniqueName="[SALCE].[Customer].[All]" dimensionUniqueName="[SALCE]" displayFolder="" count="2" memberValueDatatype="130" unbalanced="0">
      <fieldsUsage count="2">
        <fieldUsage x="-1"/>
        <fieldUsage x="3"/>
      </fieldsUsage>
    </cacheHierarchy>
    <cacheHierarchy uniqueName="[SALCE].[Payment_Method]" caption="Payment_Method" attribute="1" defaultMemberUniqueName="[SALCE].[Payment_Method].[All]" allUniqueName="[SALCE].[Payment_Method].[All]" dimensionUniqueName="[SALCE]" displayFolder="" count="0" memberValueDatatype="130" unbalanced="0"/>
    <cacheHierarchy uniqueName="[SALCE].[Customer_Type]" caption="Customer_Type" attribute="1" defaultMemberUniqueName="[SALCE].[Customer_Type].[All]" allUniqueName="[SALCE].[Customer_Type].[All]" dimensionUniqueName="[SALCE]" displayFolder="" count="0" memberValueDatatype="130" unbalanced="0"/>
    <cacheHierarchy uniqueName="[Measures].[__XL_Count SALCE]" caption="__XL_Count SALCE" measure="1" displayFolder="" measureGroup="SALCE" count="0" hidden="1"/>
    <cacheHierarchy uniqueName="[Measures].[__No measures defined]" caption="__No measures defined" measure="1" displayFolder="" count="0" hidden="1"/>
    <cacheHierarchy uniqueName="[Measures].[Sum of Profit]" caption="Sum of Profit" measure="1" displayFolder="" measureGroup="SALCE" count="0" hidden="1">
      <extLst>
        <ext xmlns:x15="http://schemas.microsoft.com/office/spreadsheetml/2010/11/main" uri="{B97F6D7D-B522-45F9-BDA1-12C45D357490}">
          <x15:cacheHierarchy aggregatedColumn="15"/>
        </ext>
      </extLst>
    </cacheHierarchy>
    <cacheHierarchy uniqueName="[Measures].[Sum of Unit_Price]" caption="Sum of Unit_Price" measure="1" displayFolder="" measureGroup="SALC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Tax_Value]" caption="Sum of Tax_Value" measure="1" displayFolder="" measureGroup="SALCE" count="0" hidden="1">
      <extLst>
        <ext xmlns:x15="http://schemas.microsoft.com/office/spreadsheetml/2010/11/main" uri="{B97F6D7D-B522-45F9-BDA1-12C45D357490}">
          <x15:cacheHierarchy aggregatedColumn="9"/>
        </ext>
      </extLst>
    </cacheHierarchy>
    <cacheHierarchy uniqueName="[Measures].[Sum of Net_Sales]" caption="Sum of Net_Sales" measure="1" displayFolder="" measureGroup="SALCE" count="0" hidden="1">
      <extLst>
        <ext xmlns:x15="http://schemas.microsoft.com/office/spreadsheetml/2010/11/main" uri="{B97F6D7D-B522-45F9-BDA1-12C45D357490}">
          <x15:cacheHierarchy aggregatedColumn="13"/>
        </ext>
      </extLst>
    </cacheHierarchy>
    <cacheHierarchy uniqueName="[Measures].[Sum of Discount_Value]" caption="Sum of Discount_Value" measure="1" displayFolder="" measureGroup="SALCE" count="0" hidden="1">
      <extLst>
        <ext xmlns:x15="http://schemas.microsoft.com/office/spreadsheetml/2010/11/main" uri="{B97F6D7D-B522-45F9-BDA1-12C45D357490}">
          <x15:cacheHierarchy aggregatedColumn="12"/>
        </ext>
      </extLst>
    </cacheHierarchy>
    <cacheHierarchy uniqueName="[Measures].[Sum of Gross_Sales]" caption="Sum of Gross_Sales" measure="1" displayFolder="" measureGroup="SALC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SALCE" count="0" hidden="1">
      <extLst>
        <ext xmlns:x15="http://schemas.microsoft.com/office/spreadsheetml/2010/11/main" uri="{B97F6D7D-B522-45F9-BDA1-12C45D357490}">
          <x15:cacheHierarchy aggregatedColumn="6"/>
        </ext>
      </extLst>
    </cacheHierarchy>
    <cacheHierarchy uniqueName="[Measures].[Sum of Discount_%]" caption="Sum of Discount_%" measure="1" displayFolder="" measureGroup="SALCE" count="0" hidden="1">
      <extLst>
        <ext xmlns:x15="http://schemas.microsoft.com/office/spreadsheetml/2010/11/main" uri="{B97F6D7D-B522-45F9-BDA1-12C45D357490}">
          <x15:cacheHierarchy aggregatedColumn="8"/>
        </ext>
      </extLst>
    </cacheHierarchy>
    <cacheHierarchy uniqueName="[Measures].[Sum of After_Discount]" caption="Sum of After_Discount" measure="1" displayFolder="" measureGroup="SALCE" count="0" hidden="1">
      <extLst>
        <ext xmlns:x15="http://schemas.microsoft.com/office/spreadsheetml/2010/11/main" uri="{B97F6D7D-B522-45F9-BDA1-12C45D357490}">
          <x15:cacheHierarchy aggregatedColumn="16"/>
        </ext>
      </extLst>
    </cacheHierarchy>
    <cacheHierarchy uniqueName="[Measures].[Sum of Cost_Price]" caption="Sum of Cost_Price" measure="1" displayFolder="" measureGroup="SALC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CE" uniqueName="[SALCE]" caption="SALCE"/>
  </dimensions>
  <measureGroups count="1">
    <measureGroup name="SALCE" caption="SAL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10.533547453706" backgroundQuery="1" createdVersion="8" refreshedVersion="8" minRefreshableVersion="3" recordCount="0" supportSubquery="1" supportAdvancedDrill="1" xr:uid="{5E53DD9F-B2A7-4202-A157-C278F6AE63A5}">
  <cacheSource type="external" connectionId="1"/>
  <cacheFields count="4">
    <cacheField name="[SALCE].[Product].[Product]" caption="Product" numFmtId="0" hierarchy="4" level="1">
      <sharedItems count="6">
        <s v="Headset"/>
        <s v="Keyboard"/>
        <s v="Laptop"/>
        <s v="Monitor"/>
        <s v="Mouse"/>
        <s v="Printer"/>
      </sharedItems>
    </cacheField>
    <cacheField name="[Measures].[Sum of Cost_Price]" caption="Sum of Cost_Price" numFmtId="0" hierarchy="31" level="32767"/>
    <cacheField name="[Measures].[Sum of Profit]" caption="Sum of Profit" numFmtId="0" hierarchy="22" level="32767"/>
    <cacheField name="[SALCE].[Customer].[Customer]" caption="Customer" numFmtId="0" hierarchy="17" level="1">
      <sharedItems containsSemiMixedTypes="0" containsNonDate="0" containsString="0"/>
    </cacheField>
  </cacheFields>
  <cacheHierarchies count="32">
    <cacheHierarchy uniqueName="[SALCE].[Order_ID]" caption="Order_ID" attribute="1" defaultMemberUniqueName="[SALCE].[Order_ID].[All]" allUniqueName="[SALCE].[Order_ID].[All]" dimensionUniqueName="[SALCE]" displayFolder="" count="0" memberValueDatatype="20" unbalanced="0"/>
    <cacheHierarchy uniqueName="[SALCE].[Date]" caption="Date" attribute="1" time="1" defaultMemberUniqueName="[SALCE].[Date].[All]" allUniqueName="[SALCE].[Date].[All]" dimensionUniqueName="[SALCE]" displayFolder="" count="0" memberValueDatatype="7" unbalanced="0"/>
    <cacheHierarchy uniqueName="[SALCE].[Region]" caption="Region" attribute="1" defaultMemberUniqueName="[SALCE].[Region].[All]" allUniqueName="[SALCE].[Region].[All]" dimensionUniqueName="[SALCE]" displayFolder="" count="2" memberValueDatatype="130" unbalanced="0"/>
    <cacheHierarchy uniqueName="[SALCE].[Salesperson]" caption="Salesperson" attribute="1" defaultMemberUniqueName="[SALCE].[Salesperson].[All]" allUniqueName="[SALCE].[Salesperson].[All]" dimensionUniqueName="[SALCE]" displayFolder="" count="0" memberValueDatatype="130" unbalanced="0"/>
    <cacheHierarchy uniqueName="[SALCE].[Product]" caption="Product" attribute="1" defaultMemberUniqueName="[SALCE].[Product].[All]" allUniqueName="[SALCE].[Product].[All]" dimensionUniqueName="[SALCE]" displayFolder="" count="2" memberValueDatatype="130" unbalanced="0">
      <fieldsUsage count="2">
        <fieldUsage x="-1"/>
        <fieldUsage x="0"/>
      </fieldsUsage>
    </cacheHierarchy>
    <cacheHierarchy uniqueName="[SALCE].[Category]" caption="Category" attribute="1" defaultMemberUniqueName="[SALCE].[Category].[All]" allUniqueName="[SALCE].[Category].[All]" dimensionUniqueName="[SALCE]" displayFolder="" count="0" memberValueDatatype="130" unbalanced="0"/>
    <cacheHierarchy uniqueName="[SALCE].[Quantity]" caption="Quantity" attribute="1" defaultMemberUniqueName="[SALCE].[Quantity].[All]" allUniqueName="[SALCE].[Quantity].[All]" dimensionUniqueName="[SALCE]" displayFolder="" count="0" memberValueDatatype="20" unbalanced="0"/>
    <cacheHierarchy uniqueName="[SALCE].[Unit_Price]" caption="Unit_Price" attribute="1" defaultMemberUniqueName="[SALCE].[Unit_Price].[All]" allUniqueName="[SALCE].[Unit_Price].[All]" dimensionUniqueName="[SALCE]" displayFolder="" count="0" memberValueDatatype="20" unbalanced="0"/>
    <cacheHierarchy uniqueName="[SALCE].[Discount_%]" caption="Discount_%" attribute="1" defaultMemberUniqueName="[SALCE].[Discount_%].[All]" allUniqueName="[SALCE].[Discount_%].[All]" dimensionUniqueName="[SALCE]" displayFolder="" count="0" memberValueDatatype="20" unbalanced="0"/>
    <cacheHierarchy uniqueName="[SALCE].[Tax_Value]" caption="Tax_Value" attribute="1" defaultMemberUniqueName="[SALCE].[Tax_Value].[All]" allUniqueName="[SALCE].[Tax_Value].[All]" dimensionUniqueName="[SALCE]" displayFolder="" count="0" memberValueDatatype="5" unbalanced="0"/>
    <cacheHierarchy uniqueName="[SALCE].[Tax_%]" caption="Tax_%" attribute="1" defaultMemberUniqueName="[SALCE].[Tax_%].[All]" allUniqueName="[SALCE].[Tax_%].[All]" dimensionUniqueName="[SALCE]" displayFolder="" count="0" memberValueDatatype="5" unbalanced="0"/>
    <cacheHierarchy uniqueName="[SALCE].[Gross_Sales]" caption="Gross_Sales" attribute="1" defaultMemberUniqueName="[SALCE].[Gross_Sales].[All]" allUniqueName="[SALCE].[Gross_Sales].[All]" dimensionUniqueName="[SALCE]" displayFolder="" count="0" memberValueDatatype="20" unbalanced="0"/>
    <cacheHierarchy uniqueName="[SALCE].[Discount_Value]" caption="Discount_Value" attribute="1" defaultMemberUniqueName="[SALCE].[Discount_Value].[All]" allUniqueName="[SALCE].[Discount_Value].[All]" dimensionUniqueName="[SALCE]" displayFolder="" count="0" memberValueDatatype="20" unbalanced="0"/>
    <cacheHierarchy uniqueName="[SALCE].[Net_Sales]" caption="Net_Sales" attribute="1" defaultMemberUniqueName="[SALCE].[Net_Sales].[All]" allUniqueName="[SALCE].[Net_Sales].[All]" dimensionUniqueName="[SALCE]" displayFolder="" count="0" memberValueDatatype="5" unbalanced="0"/>
    <cacheHierarchy uniqueName="[SALCE].[Cost_Price]" caption="Cost_Price" attribute="1" defaultMemberUniqueName="[SALCE].[Cost_Price].[All]" allUniqueName="[SALCE].[Cost_Price].[All]" dimensionUniqueName="[SALCE]" displayFolder="" count="0" memberValueDatatype="5" unbalanced="0"/>
    <cacheHierarchy uniqueName="[SALCE].[Profit]" caption="Profit" attribute="1" defaultMemberUniqueName="[SALCE].[Profit].[All]" allUniqueName="[SALCE].[Profit].[All]" dimensionUniqueName="[SALCE]" displayFolder="" count="2" memberValueDatatype="5" unbalanced="0"/>
    <cacheHierarchy uniqueName="[SALCE].[After_Discount]" caption="After_Discount" attribute="1" defaultMemberUniqueName="[SALCE].[After_Discount].[All]" allUniqueName="[SALCE].[After_Discount].[All]" dimensionUniqueName="[SALCE]" displayFolder="" count="0" memberValueDatatype="20" unbalanced="0"/>
    <cacheHierarchy uniqueName="[SALCE].[Customer]" caption="Customer" attribute="1" defaultMemberUniqueName="[SALCE].[Customer].[All]" allUniqueName="[SALCE].[Customer].[All]" dimensionUniqueName="[SALCE]" displayFolder="" count="2" memberValueDatatype="130" unbalanced="0">
      <fieldsUsage count="2">
        <fieldUsage x="-1"/>
        <fieldUsage x="3"/>
      </fieldsUsage>
    </cacheHierarchy>
    <cacheHierarchy uniqueName="[SALCE].[Payment_Method]" caption="Payment_Method" attribute="1" defaultMemberUniqueName="[SALCE].[Payment_Method].[All]" allUniqueName="[SALCE].[Payment_Method].[All]" dimensionUniqueName="[SALCE]" displayFolder="" count="0" memberValueDatatype="130" unbalanced="0"/>
    <cacheHierarchy uniqueName="[SALCE].[Customer_Type]" caption="Customer_Type" attribute="1" defaultMemberUniqueName="[SALCE].[Customer_Type].[All]" allUniqueName="[SALCE].[Customer_Type].[All]" dimensionUniqueName="[SALCE]" displayFolder="" count="0" memberValueDatatype="130" unbalanced="0"/>
    <cacheHierarchy uniqueName="[Measures].[__XL_Count SALCE]" caption="__XL_Count SALCE" measure="1" displayFolder="" measureGroup="SALCE" count="0" hidden="1"/>
    <cacheHierarchy uniqueName="[Measures].[__No measures defined]" caption="__No measures defined" measure="1" displayFolder="" count="0" hidden="1"/>
    <cacheHierarchy uniqueName="[Measures].[Sum of Profit]" caption="Sum of Profit" measure="1" displayFolder="" measureGroup="SALCE"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Unit_Price]" caption="Sum of Unit_Price" measure="1" displayFolder="" measureGroup="SALCE" count="0" hidden="1">
      <extLst>
        <ext xmlns:x15="http://schemas.microsoft.com/office/spreadsheetml/2010/11/main" uri="{B97F6D7D-B522-45F9-BDA1-12C45D357490}">
          <x15:cacheHierarchy aggregatedColumn="7"/>
        </ext>
      </extLst>
    </cacheHierarchy>
    <cacheHierarchy uniqueName="[Measures].[Sum of Tax_Value]" caption="Sum of Tax_Value" measure="1" displayFolder="" measureGroup="SALCE" count="0" hidden="1">
      <extLst>
        <ext xmlns:x15="http://schemas.microsoft.com/office/spreadsheetml/2010/11/main" uri="{B97F6D7D-B522-45F9-BDA1-12C45D357490}">
          <x15:cacheHierarchy aggregatedColumn="9"/>
        </ext>
      </extLst>
    </cacheHierarchy>
    <cacheHierarchy uniqueName="[Measures].[Sum of Net_Sales]" caption="Sum of Net_Sales" measure="1" displayFolder="" measureGroup="SALCE" count="0" hidden="1">
      <extLst>
        <ext xmlns:x15="http://schemas.microsoft.com/office/spreadsheetml/2010/11/main" uri="{B97F6D7D-B522-45F9-BDA1-12C45D357490}">
          <x15:cacheHierarchy aggregatedColumn="13"/>
        </ext>
      </extLst>
    </cacheHierarchy>
    <cacheHierarchy uniqueName="[Measures].[Sum of Discount_Value]" caption="Sum of Discount_Value" measure="1" displayFolder="" measureGroup="SALCE" count="0" hidden="1">
      <extLst>
        <ext xmlns:x15="http://schemas.microsoft.com/office/spreadsheetml/2010/11/main" uri="{B97F6D7D-B522-45F9-BDA1-12C45D357490}">
          <x15:cacheHierarchy aggregatedColumn="12"/>
        </ext>
      </extLst>
    </cacheHierarchy>
    <cacheHierarchy uniqueName="[Measures].[Sum of Gross_Sales]" caption="Sum of Gross_Sales" measure="1" displayFolder="" measureGroup="SALC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SALCE" count="0" hidden="1">
      <extLst>
        <ext xmlns:x15="http://schemas.microsoft.com/office/spreadsheetml/2010/11/main" uri="{B97F6D7D-B522-45F9-BDA1-12C45D357490}">
          <x15:cacheHierarchy aggregatedColumn="6"/>
        </ext>
      </extLst>
    </cacheHierarchy>
    <cacheHierarchy uniqueName="[Measures].[Sum of Discount_%]" caption="Sum of Discount_%" measure="1" displayFolder="" measureGroup="SALCE" count="0" hidden="1">
      <extLst>
        <ext xmlns:x15="http://schemas.microsoft.com/office/spreadsheetml/2010/11/main" uri="{B97F6D7D-B522-45F9-BDA1-12C45D357490}">
          <x15:cacheHierarchy aggregatedColumn="8"/>
        </ext>
      </extLst>
    </cacheHierarchy>
    <cacheHierarchy uniqueName="[Measures].[Sum of After_Discount]" caption="Sum of After_Discount" measure="1" displayFolder="" measureGroup="SALCE" count="0" hidden="1">
      <extLst>
        <ext xmlns:x15="http://schemas.microsoft.com/office/spreadsheetml/2010/11/main" uri="{B97F6D7D-B522-45F9-BDA1-12C45D357490}">
          <x15:cacheHierarchy aggregatedColumn="16"/>
        </ext>
      </extLst>
    </cacheHierarchy>
    <cacheHierarchy uniqueName="[Measures].[Sum of Cost_Price]" caption="Sum of Cost_Price" measure="1" displayFolder="" measureGroup="SALCE"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CE" uniqueName="[SALCE]" caption="SALCE"/>
  </dimensions>
  <measureGroups count="1">
    <measureGroup name="SALCE" caption="SAL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10.533547916668" backgroundQuery="1" createdVersion="8" refreshedVersion="8" minRefreshableVersion="3" recordCount="0" supportSubquery="1" supportAdvancedDrill="1" xr:uid="{74681A25-B723-4434-BBF6-A1DEFD79E8BE}">
  <cacheSource type="external" connectionId="1"/>
  <cacheFields count="3">
    <cacheField name="[SALCE].[Product].[Product]" caption="Product" numFmtId="0" hierarchy="4" level="1">
      <sharedItems count="6">
        <s v="Headset"/>
        <s v="Keyboard"/>
        <s v="Laptop"/>
        <s v="Monitor"/>
        <s v="Mouse"/>
        <s v="Printer"/>
      </sharedItems>
    </cacheField>
    <cacheField name="[Measures].[Sum of After_Discount]" caption="Sum of After_Discount" numFmtId="0" hierarchy="30" level="32767"/>
    <cacheField name="[SALCE].[Customer].[Customer]" caption="Customer" numFmtId="0" hierarchy="17" level="1">
      <sharedItems containsSemiMixedTypes="0" containsNonDate="0" containsString="0"/>
    </cacheField>
  </cacheFields>
  <cacheHierarchies count="32">
    <cacheHierarchy uniqueName="[SALCE].[Order_ID]" caption="Order_ID" attribute="1" defaultMemberUniqueName="[SALCE].[Order_ID].[All]" allUniqueName="[SALCE].[Order_ID].[All]" dimensionUniqueName="[SALCE]" displayFolder="" count="0" memberValueDatatype="20" unbalanced="0"/>
    <cacheHierarchy uniqueName="[SALCE].[Date]" caption="Date" attribute="1" time="1" defaultMemberUniqueName="[SALCE].[Date].[All]" allUniqueName="[SALCE].[Date].[All]" dimensionUniqueName="[SALCE]" displayFolder="" count="0" memberValueDatatype="7" unbalanced="0"/>
    <cacheHierarchy uniqueName="[SALCE].[Region]" caption="Region" attribute="1" defaultMemberUniqueName="[SALCE].[Region].[All]" allUniqueName="[SALCE].[Region].[All]" dimensionUniqueName="[SALCE]" displayFolder="" count="2" memberValueDatatype="130" unbalanced="0"/>
    <cacheHierarchy uniqueName="[SALCE].[Salesperson]" caption="Salesperson" attribute="1" defaultMemberUniqueName="[SALCE].[Salesperson].[All]" allUniqueName="[SALCE].[Salesperson].[All]" dimensionUniqueName="[SALCE]" displayFolder="" count="0" memberValueDatatype="130" unbalanced="0"/>
    <cacheHierarchy uniqueName="[SALCE].[Product]" caption="Product" attribute="1" defaultMemberUniqueName="[SALCE].[Product].[All]" allUniqueName="[SALCE].[Product].[All]" dimensionUniqueName="[SALCE]" displayFolder="" count="2" memberValueDatatype="130" unbalanced="0">
      <fieldsUsage count="2">
        <fieldUsage x="-1"/>
        <fieldUsage x="0"/>
      </fieldsUsage>
    </cacheHierarchy>
    <cacheHierarchy uniqueName="[SALCE].[Category]" caption="Category" attribute="1" defaultMemberUniqueName="[SALCE].[Category].[All]" allUniqueName="[SALCE].[Category].[All]" dimensionUniqueName="[SALCE]" displayFolder="" count="0" memberValueDatatype="130" unbalanced="0"/>
    <cacheHierarchy uniqueName="[SALCE].[Quantity]" caption="Quantity" attribute="1" defaultMemberUniqueName="[SALCE].[Quantity].[All]" allUniqueName="[SALCE].[Quantity].[All]" dimensionUniqueName="[SALCE]" displayFolder="" count="0" memberValueDatatype="20" unbalanced="0"/>
    <cacheHierarchy uniqueName="[SALCE].[Unit_Price]" caption="Unit_Price" attribute="1" defaultMemberUniqueName="[SALCE].[Unit_Price].[All]" allUniqueName="[SALCE].[Unit_Price].[All]" dimensionUniqueName="[SALCE]" displayFolder="" count="0" memberValueDatatype="20" unbalanced="0"/>
    <cacheHierarchy uniqueName="[SALCE].[Discount_%]" caption="Discount_%" attribute="1" defaultMemberUniqueName="[SALCE].[Discount_%].[All]" allUniqueName="[SALCE].[Discount_%].[All]" dimensionUniqueName="[SALCE]" displayFolder="" count="0" memberValueDatatype="20" unbalanced="0"/>
    <cacheHierarchy uniqueName="[SALCE].[Tax_Value]" caption="Tax_Value" attribute="1" defaultMemberUniqueName="[SALCE].[Tax_Value].[All]" allUniqueName="[SALCE].[Tax_Value].[All]" dimensionUniqueName="[SALCE]" displayFolder="" count="0" memberValueDatatype="5" unbalanced="0"/>
    <cacheHierarchy uniqueName="[SALCE].[Tax_%]" caption="Tax_%" attribute="1" defaultMemberUniqueName="[SALCE].[Tax_%].[All]" allUniqueName="[SALCE].[Tax_%].[All]" dimensionUniqueName="[SALCE]" displayFolder="" count="0" memberValueDatatype="5" unbalanced="0"/>
    <cacheHierarchy uniqueName="[SALCE].[Gross_Sales]" caption="Gross_Sales" attribute="1" defaultMemberUniqueName="[SALCE].[Gross_Sales].[All]" allUniqueName="[SALCE].[Gross_Sales].[All]" dimensionUniqueName="[SALCE]" displayFolder="" count="0" memberValueDatatype="20" unbalanced="0"/>
    <cacheHierarchy uniqueName="[SALCE].[Discount_Value]" caption="Discount_Value" attribute="1" defaultMemberUniqueName="[SALCE].[Discount_Value].[All]" allUniqueName="[SALCE].[Discount_Value].[All]" dimensionUniqueName="[SALCE]" displayFolder="" count="0" memberValueDatatype="20" unbalanced="0"/>
    <cacheHierarchy uniqueName="[SALCE].[Net_Sales]" caption="Net_Sales" attribute="1" defaultMemberUniqueName="[SALCE].[Net_Sales].[All]" allUniqueName="[SALCE].[Net_Sales].[All]" dimensionUniqueName="[SALCE]" displayFolder="" count="0" memberValueDatatype="5" unbalanced="0"/>
    <cacheHierarchy uniqueName="[SALCE].[Cost_Price]" caption="Cost_Price" attribute="1" defaultMemberUniqueName="[SALCE].[Cost_Price].[All]" allUniqueName="[SALCE].[Cost_Price].[All]" dimensionUniqueName="[SALCE]" displayFolder="" count="0" memberValueDatatype="5" unbalanced="0"/>
    <cacheHierarchy uniqueName="[SALCE].[Profit]" caption="Profit" attribute="1" defaultMemberUniqueName="[SALCE].[Profit].[All]" allUniqueName="[SALCE].[Profit].[All]" dimensionUniqueName="[SALCE]" displayFolder="" count="2" memberValueDatatype="5" unbalanced="0"/>
    <cacheHierarchy uniqueName="[SALCE].[After_Discount]" caption="After_Discount" attribute="1" defaultMemberUniqueName="[SALCE].[After_Discount].[All]" allUniqueName="[SALCE].[After_Discount].[All]" dimensionUniqueName="[SALCE]" displayFolder="" count="0" memberValueDatatype="20" unbalanced="0"/>
    <cacheHierarchy uniqueName="[SALCE].[Customer]" caption="Customer" attribute="1" defaultMemberUniqueName="[SALCE].[Customer].[All]" allUniqueName="[SALCE].[Customer].[All]" dimensionUniqueName="[SALCE]" displayFolder="" count="2" memberValueDatatype="130" unbalanced="0">
      <fieldsUsage count="2">
        <fieldUsage x="-1"/>
        <fieldUsage x="2"/>
      </fieldsUsage>
    </cacheHierarchy>
    <cacheHierarchy uniqueName="[SALCE].[Payment_Method]" caption="Payment_Method" attribute="1" defaultMemberUniqueName="[SALCE].[Payment_Method].[All]" allUniqueName="[SALCE].[Payment_Method].[All]" dimensionUniqueName="[SALCE]" displayFolder="" count="0" memberValueDatatype="130" unbalanced="0"/>
    <cacheHierarchy uniqueName="[SALCE].[Customer_Type]" caption="Customer_Type" attribute="1" defaultMemberUniqueName="[SALCE].[Customer_Type].[All]" allUniqueName="[SALCE].[Customer_Type].[All]" dimensionUniqueName="[SALCE]" displayFolder="" count="0" memberValueDatatype="130" unbalanced="0"/>
    <cacheHierarchy uniqueName="[Measures].[__XL_Count SALCE]" caption="__XL_Count SALCE" measure="1" displayFolder="" measureGroup="SALCE" count="0" hidden="1"/>
    <cacheHierarchy uniqueName="[Measures].[__No measures defined]" caption="__No measures defined" measure="1" displayFolder="" count="0" hidden="1"/>
    <cacheHierarchy uniqueName="[Measures].[Sum of Profit]" caption="Sum of Profit" measure="1" displayFolder="" measureGroup="SALCE" count="0" hidden="1">
      <extLst>
        <ext xmlns:x15="http://schemas.microsoft.com/office/spreadsheetml/2010/11/main" uri="{B97F6D7D-B522-45F9-BDA1-12C45D357490}">
          <x15:cacheHierarchy aggregatedColumn="15"/>
        </ext>
      </extLst>
    </cacheHierarchy>
    <cacheHierarchy uniqueName="[Measures].[Sum of Unit_Price]" caption="Sum of Unit_Price" measure="1" displayFolder="" measureGroup="SALCE" count="0" hidden="1">
      <extLst>
        <ext xmlns:x15="http://schemas.microsoft.com/office/spreadsheetml/2010/11/main" uri="{B97F6D7D-B522-45F9-BDA1-12C45D357490}">
          <x15:cacheHierarchy aggregatedColumn="7"/>
        </ext>
      </extLst>
    </cacheHierarchy>
    <cacheHierarchy uniqueName="[Measures].[Sum of Tax_Value]" caption="Sum of Tax_Value" measure="1" displayFolder="" measureGroup="SALCE" count="0" hidden="1">
      <extLst>
        <ext xmlns:x15="http://schemas.microsoft.com/office/spreadsheetml/2010/11/main" uri="{B97F6D7D-B522-45F9-BDA1-12C45D357490}">
          <x15:cacheHierarchy aggregatedColumn="9"/>
        </ext>
      </extLst>
    </cacheHierarchy>
    <cacheHierarchy uniqueName="[Measures].[Sum of Net_Sales]" caption="Sum of Net_Sales" measure="1" displayFolder="" measureGroup="SALCE" count="0" hidden="1">
      <extLst>
        <ext xmlns:x15="http://schemas.microsoft.com/office/spreadsheetml/2010/11/main" uri="{B97F6D7D-B522-45F9-BDA1-12C45D357490}">
          <x15:cacheHierarchy aggregatedColumn="13"/>
        </ext>
      </extLst>
    </cacheHierarchy>
    <cacheHierarchy uniqueName="[Measures].[Sum of Discount_Value]" caption="Sum of Discount_Value" measure="1" displayFolder="" measureGroup="SALCE" count="0" hidden="1">
      <extLst>
        <ext xmlns:x15="http://schemas.microsoft.com/office/spreadsheetml/2010/11/main" uri="{B97F6D7D-B522-45F9-BDA1-12C45D357490}">
          <x15:cacheHierarchy aggregatedColumn="12"/>
        </ext>
      </extLst>
    </cacheHierarchy>
    <cacheHierarchy uniqueName="[Measures].[Sum of Gross_Sales]" caption="Sum of Gross_Sales" measure="1" displayFolder="" measureGroup="SALC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SALCE" count="0" hidden="1">
      <extLst>
        <ext xmlns:x15="http://schemas.microsoft.com/office/spreadsheetml/2010/11/main" uri="{B97F6D7D-B522-45F9-BDA1-12C45D357490}">
          <x15:cacheHierarchy aggregatedColumn="6"/>
        </ext>
      </extLst>
    </cacheHierarchy>
    <cacheHierarchy uniqueName="[Measures].[Sum of Discount_%]" caption="Sum of Discount_%" measure="1" displayFolder="" measureGroup="SALCE" count="0" hidden="1">
      <extLst>
        <ext xmlns:x15="http://schemas.microsoft.com/office/spreadsheetml/2010/11/main" uri="{B97F6D7D-B522-45F9-BDA1-12C45D357490}">
          <x15:cacheHierarchy aggregatedColumn="8"/>
        </ext>
      </extLst>
    </cacheHierarchy>
    <cacheHierarchy uniqueName="[Measures].[Sum of After_Discount]" caption="Sum of After_Discount" measure="1" displayFolder="" measureGroup="SALC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ost_Price]" caption="Sum of Cost_Price" measure="1" displayFolder="" measureGroup="SALC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CE" uniqueName="[SALCE]" caption="SALCE"/>
  </dimensions>
  <measureGroups count="1">
    <measureGroup name="SALCE" caption="SAL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10.533548263891" backgroundQuery="1" createdVersion="8" refreshedVersion="8" minRefreshableVersion="3" recordCount="0" supportSubquery="1" supportAdvancedDrill="1" xr:uid="{2D2FE260-5C07-4385-BD62-BD7F4A0426BD}">
  <cacheSource type="external" connectionId="1"/>
  <cacheFields count="6">
    <cacheField name="[SALCE].[Product].[Product]" caption="Product" numFmtId="0" hierarchy="4" level="1">
      <sharedItems count="6">
        <s v="Headset"/>
        <s v="Keyboard"/>
        <s v="Laptop"/>
        <s v="Monitor"/>
        <s v="Mouse"/>
        <s v="Printer"/>
      </sharedItems>
    </cacheField>
    <cacheField name="[Measures].[Sum of Discount_Value]" caption="Sum of Discount_Value" numFmtId="0" hierarchy="26" level="32767"/>
    <cacheField name="[Measures].[Sum of Tax_Value]" caption="Sum of Tax_Value" numFmtId="0" hierarchy="24" level="32767"/>
    <cacheField name="[Measures].[Sum of Unit_Price]" caption="Sum of Unit_Price" numFmtId="0" hierarchy="23" level="32767"/>
    <cacheField name="[Measures].[Sum of Profit]" caption="Sum of Profit" numFmtId="0" hierarchy="22" level="32767"/>
    <cacheField name="[SALCE].[Customer].[Customer]" caption="Customer" numFmtId="0" hierarchy="17" level="1">
      <sharedItems containsSemiMixedTypes="0" containsNonDate="0" containsString="0"/>
    </cacheField>
  </cacheFields>
  <cacheHierarchies count="32">
    <cacheHierarchy uniqueName="[SALCE].[Order_ID]" caption="Order_ID" attribute="1" defaultMemberUniqueName="[SALCE].[Order_ID].[All]" allUniqueName="[SALCE].[Order_ID].[All]" dimensionUniqueName="[SALCE]" displayFolder="" count="0" memberValueDatatype="20" unbalanced="0"/>
    <cacheHierarchy uniqueName="[SALCE].[Date]" caption="Date" attribute="1" time="1" defaultMemberUniqueName="[SALCE].[Date].[All]" allUniqueName="[SALCE].[Date].[All]" dimensionUniqueName="[SALCE]" displayFolder="" count="0" memberValueDatatype="7" unbalanced="0"/>
    <cacheHierarchy uniqueName="[SALCE].[Region]" caption="Region" attribute="1" defaultMemberUniqueName="[SALCE].[Region].[All]" allUniqueName="[SALCE].[Region].[All]" dimensionUniqueName="[SALCE]" displayFolder="" count="2" memberValueDatatype="130" unbalanced="0"/>
    <cacheHierarchy uniqueName="[SALCE].[Salesperson]" caption="Salesperson" attribute="1" defaultMemberUniqueName="[SALCE].[Salesperson].[All]" allUniqueName="[SALCE].[Salesperson].[All]" dimensionUniqueName="[SALCE]" displayFolder="" count="0" memberValueDatatype="130" unbalanced="0"/>
    <cacheHierarchy uniqueName="[SALCE].[Product]" caption="Product" attribute="1" defaultMemberUniqueName="[SALCE].[Product].[All]" allUniqueName="[SALCE].[Product].[All]" dimensionUniqueName="[SALCE]" displayFolder="" count="2" memberValueDatatype="130" unbalanced="0">
      <fieldsUsage count="2">
        <fieldUsage x="-1"/>
        <fieldUsage x="0"/>
      </fieldsUsage>
    </cacheHierarchy>
    <cacheHierarchy uniqueName="[SALCE].[Category]" caption="Category" attribute="1" defaultMemberUniqueName="[SALCE].[Category].[All]" allUniqueName="[SALCE].[Category].[All]" dimensionUniqueName="[SALCE]" displayFolder="" count="0" memberValueDatatype="130" unbalanced="0"/>
    <cacheHierarchy uniqueName="[SALCE].[Quantity]" caption="Quantity" attribute="1" defaultMemberUniqueName="[SALCE].[Quantity].[All]" allUniqueName="[SALCE].[Quantity].[All]" dimensionUniqueName="[SALCE]" displayFolder="" count="0" memberValueDatatype="20" unbalanced="0"/>
    <cacheHierarchy uniqueName="[SALCE].[Unit_Price]" caption="Unit_Price" attribute="1" defaultMemberUniqueName="[SALCE].[Unit_Price].[All]" allUniqueName="[SALCE].[Unit_Price].[All]" dimensionUniqueName="[SALCE]" displayFolder="" count="0" memberValueDatatype="20" unbalanced="0"/>
    <cacheHierarchy uniqueName="[SALCE].[Discount_%]" caption="Discount_%" attribute="1" defaultMemberUniqueName="[SALCE].[Discount_%].[All]" allUniqueName="[SALCE].[Discount_%].[All]" dimensionUniqueName="[SALCE]" displayFolder="" count="0" memberValueDatatype="20" unbalanced="0"/>
    <cacheHierarchy uniqueName="[SALCE].[Tax_Value]" caption="Tax_Value" attribute="1" defaultMemberUniqueName="[SALCE].[Tax_Value].[All]" allUniqueName="[SALCE].[Tax_Value].[All]" dimensionUniqueName="[SALCE]" displayFolder="" count="0" memberValueDatatype="5" unbalanced="0"/>
    <cacheHierarchy uniqueName="[SALCE].[Tax_%]" caption="Tax_%" attribute="1" defaultMemberUniqueName="[SALCE].[Tax_%].[All]" allUniqueName="[SALCE].[Tax_%].[All]" dimensionUniqueName="[SALCE]" displayFolder="" count="0" memberValueDatatype="5" unbalanced="0"/>
    <cacheHierarchy uniqueName="[SALCE].[Gross_Sales]" caption="Gross_Sales" attribute="1" defaultMemberUniqueName="[SALCE].[Gross_Sales].[All]" allUniqueName="[SALCE].[Gross_Sales].[All]" dimensionUniqueName="[SALCE]" displayFolder="" count="0" memberValueDatatype="20" unbalanced="0"/>
    <cacheHierarchy uniqueName="[SALCE].[Discount_Value]" caption="Discount_Value" attribute="1" defaultMemberUniqueName="[SALCE].[Discount_Value].[All]" allUniqueName="[SALCE].[Discount_Value].[All]" dimensionUniqueName="[SALCE]" displayFolder="" count="0" memberValueDatatype="20" unbalanced="0"/>
    <cacheHierarchy uniqueName="[SALCE].[Net_Sales]" caption="Net_Sales" attribute="1" defaultMemberUniqueName="[SALCE].[Net_Sales].[All]" allUniqueName="[SALCE].[Net_Sales].[All]" dimensionUniqueName="[SALCE]" displayFolder="" count="0" memberValueDatatype="5" unbalanced="0"/>
    <cacheHierarchy uniqueName="[SALCE].[Cost_Price]" caption="Cost_Price" attribute="1" defaultMemberUniqueName="[SALCE].[Cost_Price].[All]" allUniqueName="[SALCE].[Cost_Price].[All]" dimensionUniqueName="[SALCE]" displayFolder="" count="0" memberValueDatatype="5" unbalanced="0"/>
    <cacheHierarchy uniqueName="[SALCE].[Profit]" caption="Profit" attribute="1" defaultMemberUniqueName="[SALCE].[Profit].[All]" allUniqueName="[SALCE].[Profit].[All]" dimensionUniqueName="[SALCE]" displayFolder="" count="2" memberValueDatatype="5" unbalanced="0"/>
    <cacheHierarchy uniqueName="[SALCE].[After_Discount]" caption="After_Discount" attribute="1" defaultMemberUniqueName="[SALCE].[After_Discount].[All]" allUniqueName="[SALCE].[After_Discount].[All]" dimensionUniqueName="[SALCE]" displayFolder="" count="0" memberValueDatatype="20" unbalanced="0"/>
    <cacheHierarchy uniqueName="[SALCE].[Customer]" caption="Customer" attribute="1" defaultMemberUniqueName="[SALCE].[Customer].[All]" allUniqueName="[SALCE].[Customer].[All]" dimensionUniqueName="[SALCE]" displayFolder="" count="2" memberValueDatatype="130" unbalanced="0">
      <fieldsUsage count="2">
        <fieldUsage x="-1"/>
        <fieldUsage x="5"/>
      </fieldsUsage>
    </cacheHierarchy>
    <cacheHierarchy uniqueName="[SALCE].[Payment_Method]" caption="Payment_Method" attribute="1" defaultMemberUniqueName="[SALCE].[Payment_Method].[All]" allUniqueName="[SALCE].[Payment_Method].[All]" dimensionUniqueName="[SALCE]" displayFolder="" count="0" memberValueDatatype="130" unbalanced="0"/>
    <cacheHierarchy uniqueName="[SALCE].[Customer_Type]" caption="Customer_Type" attribute="1" defaultMemberUniqueName="[SALCE].[Customer_Type].[All]" allUniqueName="[SALCE].[Customer_Type].[All]" dimensionUniqueName="[SALCE]" displayFolder="" count="0" memberValueDatatype="130" unbalanced="0"/>
    <cacheHierarchy uniqueName="[Measures].[__XL_Count SALCE]" caption="__XL_Count SALCE" measure="1" displayFolder="" measureGroup="SALCE" count="0" hidden="1"/>
    <cacheHierarchy uniqueName="[Measures].[__No measures defined]" caption="__No measures defined" measure="1" displayFolder="" count="0" hidden="1"/>
    <cacheHierarchy uniqueName="[Measures].[Sum of Profit]" caption="Sum of Profit" measure="1" displayFolder="" measureGroup="SALCE"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Unit_Price]" caption="Sum of Unit_Price" measure="1" displayFolder="" measureGroup="SALCE"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Tax_Value]" caption="Sum of Tax_Value" measure="1" displayFolder="" measureGroup="SALCE"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Net_Sales]" caption="Sum of Net_Sales" measure="1" displayFolder="" measureGroup="SALCE" count="0" hidden="1">
      <extLst>
        <ext xmlns:x15="http://schemas.microsoft.com/office/spreadsheetml/2010/11/main" uri="{B97F6D7D-B522-45F9-BDA1-12C45D357490}">
          <x15:cacheHierarchy aggregatedColumn="13"/>
        </ext>
      </extLst>
    </cacheHierarchy>
    <cacheHierarchy uniqueName="[Measures].[Sum of Discount_Value]" caption="Sum of Discount_Value" measure="1" displayFolder="" measureGroup="SALC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Gross_Sales]" caption="Sum of Gross_Sales" measure="1" displayFolder="" measureGroup="SALC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SALCE" count="0" hidden="1">
      <extLst>
        <ext xmlns:x15="http://schemas.microsoft.com/office/spreadsheetml/2010/11/main" uri="{B97F6D7D-B522-45F9-BDA1-12C45D357490}">
          <x15:cacheHierarchy aggregatedColumn="6"/>
        </ext>
      </extLst>
    </cacheHierarchy>
    <cacheHierarchy uniqueName="[Measures].[Sum of Discount_%]" caption="Sum of Discount_%" measure="1" displayFolder="" measureGroup="SALCE" count="0" hidden="1">
      <extLst>
        <ext xmlns:x15="http://schemas.microsoft.com/office/spreadsheetml/2010/11/main" uri="{B97F6D7D-B522-45F9-BDA1-12C45D357490}">
          <x15:cacheHierarchy aggregatedColumn="8"/>
        </ext>
      </extLst>
    </cacheHierarchy>
    <cacheHierarchy uniqueName="[Measures].[Sum of After_Discount]" caption="Sum of After_Discount" measure="1" displayFolder="" measureGroup="SALCE" count="0" hidden="1">
      <extLst>
        <ext xmlns:x15="http://schemas.microsoft.com/office/spreadsheetml/2010/11/main" uri="{B97F6D7D-B522-45F9-BDA1-12C45D357490}">
          <x15:cacheHierarchy aggregatedColumn="16"/>
        </ext>
      </extLst>
    </cacheHierarchy>
    <cacheHierarchy uniqueName="[Measures].[Sum of Cost_Price]" caption="Sum of Cost_Price" measure="1" displayFolder="" measureGroup="SALC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CE" uniqueName="[SALCE]" caption="SALCE"/>
  </dimensions>
  <measureGroups count="1">
    <measureGroup name="SALCE" caption="SAL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Laptop" refreshedDate="46210.529768749999" backgroundQuery="1" createdVersion="3" refreshedVersion="8" minRefreshableVersion="3" recordCount="0" supportSubquery="1" supportAdvancedDrill="1" xr:uid="{EFDB66D5-68FE-42B8-9836-5B98F55BF880}">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SALCE].[Order_ID]" caption="Order_ID" attribute="1" defaultMemberUniqueName="[SALCE].[Order_ID].[All]" allUniqueName="[SALCE].[Order_ID].[All]" dimensionUniqueName="[SALCE]" displayFolder="" count="0" memberValueDatatype="20" unbalanced="0"/>
    <cacheHierarchy uniqueName="[SALCE].[Date]" caption="Date" attribute="1" time="1" defaultMemberUniqueName="[SALCE].[Date].[All]" allUniqueName="[SALCE].[Date].[All]" dimensionUniqueName="[SALCE]" displayFolder="" count="0" memberValueDatatype="7" unbalanced="0"/>
    <cacheHierarchy uniqueName="[SALCE].[Region]" caption="Region" attribute="1" defaultMemberUniqueName="[SALCE].[Region].[All]" allUniqueName="[SALCE].[Region].[All]" dimensionUniqueName="[SALCE]" displayFolder="" count="2" memberValueDatatype="130" unbalanced="0"/>
    <cacheHierarchy uniqueName="[SALCE].[Salesperson]" caption="Salesperson" attribute="1" defaultMemberUniqueName="[SALCE].[Salesperson].[All]" allUniqueName="[SALCE].[Salesperson].[All]" dimensionUniqueName="[SALCE]" displayFolder="" count="0" memberValueDatatype="130" unbalanced="0"/>
    <cacheHierarchy uniqueName="[SALCE].[Product]" caption="Product" attribute="1" defaultMemberUniqueName="[SALCE].[Product].[All]" allUniqueName="[SALCE].[Product].[All]" dimensionUniqueName="[SALCE]" displayFolder="" count="2" memberValueDatatype="130" unbalanced="0"/>
    <cacheHierarchy uniqueName="[SALCE].[Category]" caption="Category" attribute="1" defaultMemberUniqueName="[SALCE].[Category].[All]" allUniqueName="[SALCE].[Category].[All]" dimensionUniqueName="[SALCE]" displayFolder="" count="0" memberValueDatatype="130" unbalanced="0"/>
    <cacheHierarchy uniqueName="[SALCE].[Quantity]" caption="Quantity" attribute="1" defaultMemberUniqueName="[SALCE].[Quantity].[All]" allUniqueName="[SALCE].[Quantity].[All]" dimensionUniqueName="[SALCE]" displayFolder="" count="0" memberValueDatatype="20" unbalanced="0"/>
    <cacheHierarchy uniqueName="[SALCE].[Unit_Price]" caption="Unit_Price" attribute="1" defaultMemberUniqueName="[SALCE].[Unit_Price].[All]" allUniqueName="[SALCE].[Unit_Price].[All]" dimensionUniqueName="[SALCE]" displayFolder="" count="0" memberValueDatatype="20" unbalanced="0"/>
    <cacheHierarchy uniqueName="[SALCE].[Discount_%]" caption="Discount_%" attribute="1" defaultMemberUniqueName="[SALCE].[Discount_%].[All]" allUniqueName="[SALCE].[Discount_%].[All]" dimensionUniqueName="[SALCE]" displayFolder="" count="0" memberValueDatatype="20" unbalanced="0"/>
    <cacheHierarchy uniqueName="[SALCE].[Tax_Value]" caption="Tax_Value" attribute="1" defaultMemberUniqueName="[SALCE].[Tax_Value].[All]" allUniqueName="[SALCE].[Tax_Value].[All]" dimensionUniqueName="[SALCE]" displayFolder="" count="0" memberValueDatatype="5" unbalanced="0"/>
    <cacheHierarchy uniqueName="[SALCE].[Tax_%]" caption="Tax_%" attribute="1" defaultMemberUniqueName="[SALCE].[Tax_%].[All]" allUniqueName="[SALCE].[Tax_%].[All]" dimensionUniqueName="[SALCE]" displayFolder="" count="0" memberValueDatatype="5" unbalanced="0"/>
    <cacheHierarchy uniqueName="[SALCE].[Gross_Sales]" caption="Gross_Sales" attribute="1" defaultMemberUniqueName="[SALCE].[Gross_Sales].[All]" allUniqueName="[SALCE].[Gross_Sales].[All]" dimensionUniqueName="[SALCE]" displayFolder="" count="0" memberValueDatatype="20" unbalanced="0"/>
    <cacheHierarchy uniqueName="[SALCE].[Discount_Value]" caption="Discount_Value" attribute="1" defaultMemberUniqueName="[SALCE].[Discount_Value].[All]" allUniqueName="[SALCE].[Discount_Value].[All]" dimensionUniqueName="[SALCE]" displayFolder="" count="0" memberValueDatatype="20" unbalanced="0"/>
    <cacheHierarchy uniqueName="[SALCE].[Net_Sales]" caption="Net_Sales" attribute="1" defaultMemberUniqueName="[SALCE].[Net_Sales].[All]" allUniqueName="[SALCE].[Net_Sales].[All]" dimensionUniqueName="[SALCE]" displayFolder="" count="0" memberValueDatatype="5" unbalanced="0"/>
    <cacheHierarchy uniqueName="[SALCE].[Cost_Price]" caption="Cost_Price" attribute="1" defaultMemberUniqueName="[SALCE].[Cost_Price].[All]" allUniqueName="[SALCE].[Cost_Price].[All]" dimensionUniqueName="[SALCE]" displayFolder="" count="0" memberValueDatatype="5" unbalanced="0"/>
    <cacheHierarchy uniqueName="[SALCE].[Profit]" caption="Profit" attribute="1" defaultMemberUniqueName="[SALCE].[Profit].[All]" allUniqueName="[SALCE].[Profit].[All]" dimensionUniqueName="[SALCE]" displayFolder="" count="2" memberValueDatatype="5" unbalanced="0"/>
    <cacheHierarchy uniqueName="[SALCE].[After_Discount]" caption="After_Discount" attribute="1" defaultMemberUniqueName="[SALCE].[After_Discount].[All]" allUniqueName="[SALCE].[After_Discount].[All]" dimensionUniqueName="[SALCE]" displayFolder="" count="0" memberValueDatatype="20" unbalanced="0"/>
    <cacheHierarchy uniqueName="[SALCE].[Customer]" caption="Customer" attribute="1" defaultMemberUniqueName="[SALCE].[Customer].[All]" allUniqueName="[SALCE].[Customer].[All]" dimensionUniqueName="[SALCE]" displayFolder="" count="2" memberValueDatatype="130" unbalanced="0"/>
    <cacheHierarchy uniqueName="[SALCE].[Payment_Method]" caption="Payment_Method" attribute="1" defaultMemberUniqueName="[SALCE].[Payment_Method].[All]" allUniqueName="[SALCE].[Payment_Method].[All]" dimensionUniqueName="[SALCE]" displayFolder="" count="0" memberValueDatatype="130" unbalanced="0"/>
    <cacheHierarchy uniqueName="[SALCE].[Customer_Type]" caption="Customer_Type" attribute="1" defaultMemberUniqueName="[SALCE].[Customer_Type].[All]" allUniqueName="[SALCE].[Customer_Type].[All]" dimensionUniqueName="[SALCE]" displayFolder="" count="0" memberValueDatatype="130" unbalanced="0"/>
    <cacheHierarchy uniqueName="[Measures].[__XL_Count SALCE]" caption="__XL_Count SALCE" measure="1" displayFolder="" measureGroup="SALCE" count="0" hidden="1"/>
    <cacheHierarchy uniqueName="[Measures].[__No measures defined]" caption="__No measures defined" measure="1" displayFolder="" count="0" hidden="1"/>
    <cacheHierarchy uniqueName="[Measures].[Sum of Profit]" caption="Sum of Profit" measure="1" displayFolder="" measureGroup="SALCE" count="0" hidden="1">
      <extLst>
        <ext xmlns:x15="http://schemas.microsoft.com/office/spreadsheetml/2010/11/main" uri="{B97F6D7D-B522-45F9-BDA1-12C45D357490}">
          <x15:cacheHierarchy aggregatedColumn="15"/>
        </ext>
      </extLst>
    </cacheHierarchy>
    <cacheHierarchy uniqueName="[Measures].[Sum of Unit_Price]" caption="Sum of Unit_Price" measure="1" displayFolder="" measureGroup="SALCE" count="0" hidden="1">
      <extLst>
        <ext xmlns:x15="http://schemas.microsoft.com/office/spreadsheetml/2010/11/main" uri="{B97F6D7D-B522-45F9-BDA1-12C45D357490}">
          <x15:cacheHierarchy aggregatedColumn="7"/>
        </ext>
      </extLst>
    </cacheHierarchy>
    <cacheHierarchy uniqueName="[Measures].[Sum of Tax_Value]" caption="Sum of Tax_Value" measure="1" displayFolder="" measureGroup="SALCE" count="0" hidden="1">
      <extLst>
        <ext xmlns:x15="http://schemas.microsoft.com/office/spreadsheetml/2010/11/main" uri="{B97F6D7D-B522-45F9-BDA1-12C45D357490}">
          <x15:cacheHierarchy aggregatedColumn="9"/>
        </ext>
      </extLst>
    </cacheHierarchy>
    <cacheHierarchy uniqueName="[Measures].[Sum of Net_Sales]" caption="Sum of Net_Sales" measure="1" displayFolder="" measureGroup="SALCE" count="0" hidden="1">
      <extLst>
        <ext xmlns:x15="http://schemas.microsoft.com/office/spreadsheetml/2010/11/main" uri="{B97F6D7D-B522-45F9-BDA1-12C45D357490}">
          <x15:cacheHierarchy aggregatedColumn="13"/>
        </ext>
      </extLst>
    </cacheHierarchy>
    <cacheHierarchy uniqueName="[Measures].[Sum of Discount_Value]" caption="Sum of Discount_Value" measure="1" displayFolder="" measureGroup="SALCE" count="0" hidden="1">
      <extLst>
        <ext xmlns:x15="http://schemas.microsoft.com/office/spreadsheetml/2010/11/main" uri="{B97F6D7D-B522-45F9-BDA1-12C45D357490}">
          <x15:cacheHierarchy aggregatedColumn="12"/>
        </ext>
      </extLst>
    </cacheHierarchy>
    <cacheHierarchy uniqueName="[Measures].[Sum of Gross_Sales]" caption="Sum of Gross_Sales" measure="1" displayFolder="" measureGroup="SALC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SALCE" count="0" hidden="1">
      <extLst>
        <ext xmlns:x15="http://schemas.microsoft.com/office/spreadsheetml/2010/11/main" uri="{B97F6D7D-B522-45F9-BDA1-12C45D357490}">
          <x15:cacheHierarchy aggregatedColumn="6"/>
        </ext>
      </extLst>
    </cacheHierarchy>
    <cacheHierarchy uniqueName="[Measures].[Sum of Discount_%]" caption="Sum of Discount_%" measure="1" displayFolder="" measureGroup="SALCE" count="0" hidden="1">
      <extLst>
        <ext xmlns:x15="http://schemas.microsoft.com/office/spreadsheetml/2010/11/main" uri="{B97F6D7D-B522-45F9-BDA1-12C45D357490}">
          <x15:cacheHierarchy aggregatedColumn="8"/>
        </ext>
      </extLst>
    </cacheHierarchy>
    <cacheHierarchy uniqueName="[Measures].[Sum of After_Discount]" caption="Sum of After_Discount" measure="1" displayFolder="" measureGroup="SALCE" count="0" hidden="1">
      <extLst>
        <ext xmlns:x15="http://schemas.microsoft.com/office/spreadsheetml/2010/11/main" uri="{B97F6D7D-B522-45F9-BDA1-12C45D357490}">
          <x15:cacheHierarchy aggregatedColumn="16"/>
        </ext>
      </extLst>
    </cacheHierarchy>
    <cacheHierarchy uniqueName="[Measures].[Sum of Cost_Price]" caption="Sum of Cost_Price" measure="1" displayFolder="" measureGroup="SALC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8282032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1BEB59-31A4-4C76-98B1-E8AF2CFCCAAE}" name="PivotTable1"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Unit_Price" fld="1" baseField="0" baseItem="0"/>
    <dataField name="Sum of Gross_Sales" fld="2" baseField="0" baseItem="0"/>
  </dataFields>
  <chartFormats count="2">
    <chartFormat chart="2" format="8"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s>
  <pivotHierarchies count="3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_800_Rows_Enhanced.xlsx!SALCE">
        <x15:activeTabTopLevelEntity name="[SAL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EC2E2A-5644-44FB-826A-0CCCBB7527E1}" name="PivotTable1"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0"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Cost_Price" fld="1" baseField="0" baseItem="0"/>
    <dataField name="Sum of Profit"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3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_800_Rows_Enhanced.xlsx!SALCE">
        <x15:activeTabTopLevelEntity name="[SAL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872847-AC5A-4A53-8820-74211BDE4936}" name="PivotTable1"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10" firstHeaderRow="0"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4">
    <i>
      <x/>
    </i>
    <i i="1">
      <x v="1"/>
    </i>
    <i i="2">
      <x v="2"/>
    </i>
    <i i="3">
      <x v="3"/>
    </i>
  </colItems>
  <dataFields count="4">
    <dataField name="Sum of Discount_Value" fld="1" baseField="0" baseItem="0"/>
    <dataField name="Sum of Tax_Value" fld="2" baseField="0" baseItem="0"/>
    <dataField name="Sum of Unit_Price" fld="3" baseField="0" baseItem="0"/>
    <dataField name="Sum of Profit" fld="4" baseField="0" baseItem="0"/>
  </dataFields>
  <chartFormats count="8">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0" format="10" series="1">
      <pivotArea type="data" outline="0" fieldPosition="0">
        <references count="1">
          <reference field="4294967294" count="1" selected="0">
            <x v="3"/>
          </reference>
        </references>
      </pivotArea>
    </chartFormat>
    <chartFormat chart="8" format="15" series="1">
      <pivotArea type="data" outline="0" fieldPosition="0">
        <references count="1">
          <reference field="4294967294" count="1" selected="0">
            <x v="0"/>
          </reference>
        </references>
      </pivotArea>
    </chartFormat>
    <chartFormat chart="8" format="16" series="1">
      <pivotArea type="data" outline="0" fieldPosition="0">
        <references count="1">
          <reference field="4294967294" count="1" selected="0">
            <x v="1"/>
          </reference>
        </references>
      </pivotArea>
    </chartFormat>
    <chartFormat chart="8" format="17" series="1">
      <pivotArea type="data" outline="0" fieldPosition="0">
        <references count="1">
          <reference field="4294967294" count="1" selected="0">
            <x v="2"/>
          </reference>
        </references>
      </pivotArea>
    </chartFormat>
    <chartFormat chart="8" format="18" series="1">
      <pivotArea type="data" outline="0" fieldPosition="0">
        <references count="1">
          <reference field="4294967294" count="1" selected="0">
            <x v="3"/>
          </reference>
        </references>
      </pivotArea>
    </chartFormat>
  </chartFormats>
  <pivotHierarchies count="3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_800_Rows_Enhanced.xlsx!SALCE">
        <x15:activeTabTopLevelEntity name="[SAL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43309-26A2-45BA-8E95-4CD2D7EBC3AB}" name="PivotTable2"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qunty of After_Discount" fld="1" baseField="0" baseItem="0"/>
  </dataFields>
  <chartFormats count="2">
    <chartFormat chart="11"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qunty of After_Discount"/>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_800_Rows_Enhanced.xlsx!SALCE">
        <x15:activeTabTopLevelEntity name="[SAL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F6AA42-CC11-4B49-9235-BE99733AA955}" name="PivotTable3" cacheId="1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B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Discount_%" fld="1" baseField="0" baseItem="0"/>
  </dataFields>
  <chartFormats count="14">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0" count="1" selected="0">
            <x v="0"/>
          </reference>
        </references>
      </pivotArea>
    </chartFormat>
    <chartFormat chart="7" format="17">
      <pivotArea type="data" outline="0" fieldPosition="0">
        <references count="2">
          <reference field="4294967294" count="1" selected="0">
            <x v="0"/>
          </reference>
          <reference field="0" count="1" selected="0">
            <x v="1"/>
          </reference>
        </references>
      </pivotArea>
    </chartFormat>
    <chartFormat chart="7" format="18">
      <pivotArea type="data" outline="0" fieldPosition="0">
        <references count="2">
          <reference field="4294967294" count="1" selected="0">
            <x v="0"/>
          </reference>
          <reference field="0" count="1" selected="0">
            <x v="2"/>
          </reference>
        </references>
      </pivotArea>
    </chartFormat>
    <chartFormat chart="7" format="19">
      <pivotArea type="data" outline="0" fieldPosition="0">
        <references count="2">
          <reference field="4294967294" count="1" selected="0">
            <x v="0"/>
          </reference>
          <reference field="0" count="1" selected="0">
            <x v="3"/>
          </reference>
        </references>
      </pivotArea>
    </chartFormat>
    <chartFormat chart="7" format="20">
      <pivotArea type="data" outline="0" fieldPosition="0">
        <references count="2">
          <reference field="4294967294" count="1" selected="0">
            <x v="0"/>
          </reference>
          <reference field="0" count="1" selected="0">
            <x v="4"/>
          </reference>
        </references>
      </pivotArea>
    </chartFormat>
    <chartFormat chart="7" format="21">
      <pivotArea type="data" outline="0" fieldPosition="0">
        <references count="2">
          <reference field="4294967294" count="1" selected="0">
            <x v="0"/>
          </reference>
          <reference field="0" count="1" selected="0">
            <x v="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3"/>
          </reference>
        </references>
      </pivotArea>
    </chartFormat>
    <chartFormat chart="4" format="13">
      <pivotArea type="data" outline="0" fieldPosition="0">
        <references count="2">
          <reference field="4294967294" count="1" selected="0">
            <x v="0"/>
          </reference>
          <reference field="0" count="1" selected="0">
            <x v="4"/>
          </reference>
        </references>
      </pivotArea>
    </chartFormat>
    <chartFormat chart="4" format="14">
      <pivotArea type="data" outline="0" fieldPosition="0">
        <references count="2">
          <reference field="4294967294" count="1" selected="0">
            <x v="0"/>
          </reference>
          <reference field="0" count="1" selected="0">
            <x v="5"/>
          </reference>
        </references>
      </pivotArea>
    </chartFormat>
  </chartFormats>
  <pivotHierarchies count="3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_800_Rows_Enhanced.xlsx!SALCE">
        <x15:activeTabTopLevelEntity name="[SALC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C66E085-487E-43C5-9669-E2413D642645}" sourceName="[SALCE].[Product]">
  <pivotTables>
    <pivotTable tabId="6" name="PivotTable3"/>
    <pivotTable tabId="4" name="PivotTable1"/>
    <pivotTable tabId="8" name="PivotTable1"/>
    <pivotTable tabId="5" name="PivotTable2"/>
    <pivotTable tabId="10" name="PivotTable1"/>
  </pivotTables>
  <data>
    <olap pivotCacheId="828203237">
      <levels count="2">
        <level uniqueName="[SALCE].[Product].[(All)]" sourceCaption="(All)" count="0"/>
        <level uniqueName="[SALCE].[Product].[Product]" sourceCaption="Product" count="6">
          <ranges>
            <range startItem="0">
              <i n="[SALCE].[Product].&amp;[Headset]" c="Headset"/>
              <i n="[SALCE].[Product].&amp;[Keyboard]" c="Keyboard"/>
              <i n="[SALCE].[Product].&amp;[Laptop]" c="Laptop"/>
              <i n="[SALCE].[Product].&amp;[Monitor]" c="Monitor"/>
              <i n="[SALCE].[Product].&amp;[Mouse]" c="Mouse"/>
              <i n="[SALCE].[Product].&amp;[Printer]" c="Printer"/>
            </range>
          </ranges>
        </level>
      </levels>
      <selections count="1">
        <selection n="[SALCE].[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CEF88C04-3601-4AB4-8D46-9C87BC84AAB2}" sourceName="[SALCE].[Profit]">
  <pivotTables>
    <pivotTable tabId="6" name="PivotTable3"/>
    <pivotTable tabId="4" name="PivotTable1"/>
    <pivotTable tabId="8" name="PivotTable1"/>
    <pivotTable tabId="5" name="PivotTable2"/>
    <pivotTable tabId="10" name="PivotTable1"/>
  </pivotTables>
  <data>
    <olap pivotCacheId="828203237">
      <levels count="2">
        <level uniqueName="[SALCE].[Profit].[(All)]" sourceCaption="(All)" count="0"/>
        <level uniqueName="[SALCE].[Profit].[Profit]" sourceCaption="Profit" count="190" sortOrder="ascending">
          <ranges>
            <range startItem="0">
              <i n="[SALCE].[Profit].&amp;[4.5357E1]" c="45.357"/>
              <i n="[SALCE].[Profit].&amp;[6.0377999999999986E1]" c="60.378"/>
              <i n="[SALCE].[Profit].&amp;[7.5399E1]" c="75.399"/>
              <i n="[SALCE].[Profit].&amp;[7.559500000000003E1]" c="75.595"/>
              <i n="[SALCE].[Profit].&amp;[9.042000000000001E1]" c="90.42"/>
              <i n="[SALCE].[Profit].&amp;[9.0714E1]" c="90.714"/>
              <i n="[SALCE].[Profit].&amp;[1.0063E2]" c="100.63"/>
              <i n="[SALCE].[Profit].&amp;[1.2075599999999997E2]" c="120.756"/>
              <i n="[SALCE].[Profit].&amp;[1.20952E2]" c="120.952"/>
              <i n="[SALCE].[Profit].&amp;[1.2566500000000002E2]" c="125.665"/>
              <i n="[SALCE].[Profit].&amp;[1.3607100000000003E2]" c="136.071"/>
              <i n="[SALCE].[Profit].&amp;[1.507E2]" c="150.7"/>
              <i n="[SALCE].[Profit].&amp;[1.50798E2]" c="150.798"/>
              <i n="[SALCE].[Profit].&amp;[1.5119000000000005E2]" c="151.19"/>
              <i n="[SALCE].[Profit].&amp;[1.8084000000000003E2]" c="180.84"/>
              <i n="[SALCE].[Profit].&amp;[1.8113400000000001E2]" c="181.134"/>
              <i n="[SALCE].[Profit].&amp;[1.81428E2]" c="181.428"/>
              <i n="[SALCE].[Profit].&amp;[2.0106399999999996E2]" c="201.064"/>
              <i n="[SALCE].[Profit].&amp;[2.0126E2]" c="201.26"/>
              <i n="[SALCE].[Profit].&amp;[2.26197E2]" c="226.197"/>
              <i n="[SALCE].[Profit].&amp;[2.2678500000000008E2]" c="226.785"/>
              <i n="[SALCE].[Profit].&amp;[2.4112E2]" c="241.12"/>
              <i n="[SALCE].[Profit].&amp;[2.4151199999999994E2]" c="241.512"/>
              <i n="[SALCE].[Profit].&amp;[2.41904E2]" c="241.904"/>
              <i n="[SALCE].[Profit].&amp;[2.5133000000000004E2]" c="251.33"/>
              <i n="[SALCE].[Profit].&amp;[2.7126E2]" c="271.26"/>
              <i n="[SALCE].[Profit].&amp;[2.7214200000000005E2]" c="272.142"/>
              <i n="[SALCE].[Profit].&amp;[3.014E2]" c="301.4"/>
              <i n="[SALCE].[Profit].&amp;[3.01596E2]" c="301.596"/>
              <i n="[SALCE].[Profit].&amp;[3.018900000000001E2]" c="301.89"/>
              <i n="[SALCE].[Profit].&amp;[3.023800000000001E2]" c="302.38"/>
              <i n="[SALCE].[Profit].&amp;[3.17499E2]" c="317.499"/>
              <i n="[SALCE].[Profit].&amp;[3.220160000000001E2]" c="322.016"/>
              <i n="[SALCE].[Profit].&amp;[3.6226800000000003E2]" c="362.268"/>
              <i n="[SALCE].[Profit].&amp;[3.62856E2]" c="362.856"/>
              <i n="[SALCE].[Profit].&amp;[3.769949999999999E2]" c="376.995"/>
              <i n="[SALCE].[Profit].&amp;[3.779749999999999E2]" c="377.975"/>
              <i n="[SALCE].[Profit].&amp;[4.0212799999999993E2]" c="402.128"/>
              <i n="[SALCE].[Profit].&amp;[4.0252E2]" c="402.52"/>
              <i n="[SALCE].[Profit].&amp;[4.082130000000004E2]" c="408.213"/>
              <i n="[SALCE].[Profit].&amp;[4.2264599999999995E2]" c="422.646"/>
              <i n="[SALCE].[Profit].&amp;[4.520999999999999E2]" c="452.1"/>
              <i n="[SALCE].[Profit].&amp;[4.52394E2]" c="452.394"/>
              <i n="[SALCE].[Profit].&amp;[4.5357000000000016E2]" c="453.57"/>
              <i n="[SALCE].[Profit].&amp;[4.8224E2]" c="482.24"/>
              <i n="[SALCE].[Profit].&amp;[4.830239999999999E2]" c="483.024"/>
              <i n="[SALCE].[Profit].&amp;[4.83808E2]" c="483.808"/>
              <i n="[SALCE].[Profit].&amp;[5.026600000000001E2]" c="502.66"/>
              <i n="[SALCE].[Profit].&amp;[5.031500000000001E2]" c="503.15"/>
              <i n="[SALCE].[Profit].&amp;[5.277929999999999E2]" c="527.793"/>
              <i n="[SALCE].[Profit].&amp;[5.4252E2]" c="542.52"/>
              <i n="[SALCE].[Profit].&amp;[5.434020000000003E2]" c="543.402"/>
              <i n="[SALCE].[Profit].&amp;[6.028E2]" c="602.8"/>
              <i n="[SALCE].[Profit].&amp;[6.03192E2]" c="603.192"/>
              <i n="[SALCE].[Profit].&amp;[6.037800000000002E2]" c="603.78"/>
              <i n="[SALCE].[Profit].&amp;[6.047600000000002E2]" c="604.76"/>
              <i n="[SALCE].[Profit].&amp;[6.283249999999998E2]" c="628.325"/>
              <i n="[SALCE].[Profit].&amp;[6.3294E2]" c="632.94"/>
              <i n="[SALCE].[Profit].&amp;[6.440320000000001E2]" c="644.032"/>
              <i n="[SALCE].[Profit].&amp;[6.785910000000001E2]" c="678.591"/>
              <i n="[SALCE].[Profit].&amp;[6.80355E2]" c="680.355"/>
              <i n="[SALCE].[Profit].&amp;[7.044099999999998E2]" c="704.41"/>
              <i n="[SALCE].[Profit].&amp;[7.233600000000001E2]" c="723.36"/>
              <i n="[SALCE].[Profit].&amp;[7.25712E2]" c="725.712"/>
              <i n="[SALCE].[Profit].&amp;[7.535E2]" c="753.5"/>
              <i n="[SALCE].[Profit].&amp;[7.539899999999998E2]" c="753.99"/>
              <i n="[SALCE].[Profit].&amp;[7.559499999999998E2]" c="755.95"/>
              <i n="[SALCE].[Profit].&amp;[8.042559999999999E2]" c="804.256"/>
              <i n="[SALCE].[Profit].&amp;[8.0504E2]" c="805.04"/>
              <i n="[SALCE].[Profit].&amp;[8.137800000000004E2]" c="813.78"/>
              <i n="[SALCE].[Profit].&amp;[8.796550000000002E2]" c="879.655"/>
              <i n="[SALCE].[Profit].&amp;[9.041999999999998E2]" c="904.2"/>
              <i n="[SALCE].[Profit].&amp;[9.056700000000001E2]" c="905.67"/>
              <i n="[SALCE].[Profit].&amp;[9.071400000000003E2]" c="907.14"/>
              <i n="[SALCE].[Profit].&amp;[9.6448E2]" c="964.48"/>
              <i n="[SALCE].[Profit].&amp;[9.660479999999998E2]" c="966.048"/>
              <i n="[SALCE].[Profit].&amp;[9.67616E2]" c="967.616"/>
              <i n="[SALCE].[Profit].&amp;[1.0053200000000002E3]" c="1005.32"/>
              <i n="[SALCE].[Profit].&amp;[1.0063000000000002E3]" c="1006.3"/>
              <i n="[SALCE].[Profit].&amp;[1.0549E3]" c="1054.9"/>
              <i n="[SALCE].[Profit].&amp;[1.0885680000000002E3]" c="1088.568"/>
              <i n="[SALCE].[Profit].&amp;[1.127056E3]" c="1127.056"/>
              <i n="[SALCE].[Profit].&amp;[1.1309849999999996E3]" c="1130.985"/>
              <i n="[SALCE].[Profit].&amp;[1.2056E3]" c="1205.6"/>
              <i n="[SALCE].[Profit].&amp;[1.206384E3]" c="1206.384"/>
              <i n="[SALCE].[Profit].&amp;[1.2075600000000004E3]" c="1207.56"/>
              <i n="[SALCE].[Profit].&amp;[1.2095200000000004E3]" c="1209.52"/>
              <i n="[SALCE].[Profit].&amp;[1.2566499999999996E3]" c="1256.65"/>
              <i n="[SALCE].[Profit].&amp;[1.2880640000000003E3]" c="1288.064"/>
              <i n="[SALCE].[Profit].&amp;[1.3563000000000001E3]" c="1356.3"/>
              <i n="[SALCE].[Profit].&amp;[1.4074480000000007E3]" c="1407.448"/>
              <i n="[SALCE].[Profit].&amp;[1.4467200000000002E3]" c="1446.72"/>
              <i n="[SALCE].[Profit].&amp;[1.4490720000000001E3]" c="1449.072"/>
              <i n="[SALCE].[Profit].&amp;[1.507E3]" c="1507"/>
              <i n="[SALCE].[Profit].&amp;[1.5079799999999995E3]" c="1507.98"/>
              <i n="[SALCE].[Profit].&amp;[1.6085119999999997E3]" c="1608.512"/>
              <i n="[SALCE].[Profit].&amp;[1.61008E3]" c="1610.08"/>
              <i n="[SALCE].[Profit].&amp;[1.6878400000000006E3]" c="1687.84"/>
              <i n="[SALCE].[Profit].&amp;[1.8083999999999996E3]" c="1808.4"/>
              <i n="[SALCE].[Profit].&amp;[1.809576E3]" c="1809.576"/>
              <i n="[SALCE].[Profit].&amp;[1.8142800000000006E3]" c="1814.28"/>
              <i n="[SALCE].[Profit].&amp;[1.92896E3]" c="1928.96"/>
              <i n="[SALCE].[Profit].&amp;[2.0106400000000003E3]" c="2010.64"/>
              <i n="[SALCE].[Profit].&amp;[2.17008E3]" c="2170.08"/>
              <i n="[SALCE].[Profit].&amp;[2.2678500000000003E3]" c="2267.85"/>
              <i n="[SALCE].[Profit].&amp;[2.4112E3]" c="2411.2"/>
              <i n="[SALCE].[Profit].&amp;[2.415120000000001E3]" c="2415.12"/>
              <i n="[SALCE].[Profit].&amp;[2.419040000000001E3]" c="2419.04"/>
              <i n="[SALCE].[Profit].&amp;[2.72142E3]" c="2721.42"/>
              <i n="[SALCE].[Profit].&amp;[3.015959999999999E3]" c="3015.96"/>
              <i n="[SALCE].[Profit].&amp;[3.0188999999999996E3]" c="3018.9"/>
              <i n="[SALCE].[Profit].&amp;[3.0237999999999992E3]" c="3023.8"/>
              <i n="[SALCE].[Profit].&amp;[3.22016E3]" c="3220.16"/>
              <i n="[SALCE].[Profit].&amp;[3.6167999999999992E3]" c="3616.8"/>
              <i n="[SALCE].[Profit].&amp;[3.6226800000000003E3]" c="3622.68"/>
              <i n="[SALCE].[Profit].&amp;[3.6285600000000013E3]" c="3628.56"/>
              <i n="[SALCE].[Profit].&amp;[3.7699500000000007E3]" c="3769.95"/>
              <i n="[SALCE].[Profit].&amp;[4.0212800000000006E3]" c="4021.28"/>
              <i n="[SALCE].[Profit].&amp;[4.0252000000000007E3]" c="4025.2"/>
              <i n="[SALCE].[Profit].&amp;[4.23332E3]" c="4233.32"/>
              <i n="[SALCE].[Profit].&amp;[4.521E3]" c="4521"/>
              <i n="[SALCE].[Profit].&amp;[4.523939999999999E3]" c="4523.94"/>
              <i n="[SALCE].[Profit].&amp;[4.535700000000001E3]" c="4535.7"/>
              <i n="[SALCE].[Profit].&amp;[4.8224E3]" c="4822.4"/>
              <i n="[SALCE].[Profit].&amp;[4.830240000000002E3]" c="4830.24"/>
              <i n="[SALCE].[Profit].&amp;[4.838080000000002E3]" c="4838.08"/>
              <i n="[SALCE].[Profit].&amp;[5.0265999999999985E3]" c="5026.6"/>
              <i n="[SALCE].[Profit].&amp;[5.425200000000001E3]" c="5425.2"/>
              <i n="[SALCE].[Profit].&amp;[5.44284E3]" c="5442.84"/>
              <i n="[SALCE].[Profit].&amp;[5.635279999999999E3]" c="5635.28"/>
              <i n="[SALCE].[Profit].&amp;[6.028E3]" c="6028"/>
              <i n="[SALCE].[Profit].&amp;[6.031919999999998E3]" c="6031.92"/>
              <i n="[SALCE].[Profit].&amp;[6.037799999999999E3]" c="6037.8"/>
              <i n="[SALCE].[Profit].&amp;[6.0475999999999985E3]" c="6047.6"/>
              <i n="[SALCE].[Profit].&amp;[6.349980000000007E3]" c="6349.98000000001"/>
              <i n="[SALCE].[Profit].&amp;[6.44032E3]" c="6440.32"/>
              <i n="[SALCE].[Profit].&amp;[6.803550000000007E3]" c="6803.55000000001"/>
              <i n="[SALCE].[Profit].&amp;[7.037240000000002E3]" c="7037.24"/>
              <i n="[SALCE].[Profit].&amp;[7.2335999999999985E3]" c="7233.6"/>
              <i n="[SALCE].[Profit].&amp;[7.245360000000001E3]" c="7245.36"/>
              <i n="[SALCE].[Profit].&amp;[7.257120000000003E3]" c="7257.12"/>
              <i n="[SALCE].[Profit].&amp;[7.5399000000000015E3]" c="7539.9"/>
              <i n="[SALCE].[Profit].&amp;[8.042560000000001E3]" c="8042.56"/>
              <i n="[SALCE].[Profit].&amp;[8.0504000000000015E3]" c="8050.4"/>
              <i n="[SALCE].[Profit].&amp;[8.164260000000002E3]" c="8164.26"/>
              <i n="[SALCE].[Profit].&amp;[8.4392E3]" c="8439.2"/>
              <i n="[SALCE].[Profit].&amp;[8.452920000000001E3]" c="8452.92"/>
              <i n="[SALCE].[Profit].&amp;[9.042E3]" c="9042"/>
              <i n="[SALCE].[Profit].&amp;[9.047879999999997E3]" c="9047.88"/>
              <i n="[SALCE].[Profit].&amp;[9.0567E3]" c="9056.7"/>
              <i n="[SALCE].[Profit].&amp;[9.071400000000001E3]" c="9071.4"/>
              <i n="[SALCE].[Profit].&amp;[9.660480000000003E3]" c="9660.48"/>
              <i n="[SALCE].[Profit].&amp;[1.0053199999999997E4]" c="10053.2"/>
              <i n="[SALCE].[Profit].&amp;[1.0555860000000004E4]" c="10555.86"/>
              <i n="[SALCE].[Profit].&amp;[1.0850400000000001E4]" c="10850.4"/>
              <i n="[SALCE].[Profit].&amp;[1.086804E4]" c="10868.04"/>
              <i n="[SALCE].[Profit].&amp;[1.1309850000000002E4]" c="11309.85"/>
              <i n="[SALCE].[Profit].&amp;[1.133925E4]" c="11339.25"/>
              <i n="[SALCE].[Profit].&amp;[1.2056E4]" c="12056"/>
              <i n="[SALCE].[Profit].&amp;[1.2063839999999996E4]" c="12063.84"/>
              <i n="[SALCE].[Profit].&amp;[1.2075599999999998E4]" c="12075.6"/>
              <i n="[SALCE].[Profit].&amp;[1.2658800000000006E4]" c="12658.8"/>
              <i n="[SALCE].[Profit].&amp;[1.3563000000000003E4]" c="13563"/>
              <i n="[SALCE].[Profit].&amp;[1.357182E4]" c="13571.82"/>
              <i n="[SALCE].[Profit].&amp;[1.3607100000000013E4]" c="13607.1"/>
              <i n="[SALCE].[Profit].&amp;[1.4467199999999997E4]" c="14467.2"/>
              <i n="[SALCE].[Profit].&amp;[1.5079800000000003E4]" c="15079.8"/>
              <i n="[SALCE].[Profit].&amp;[1.50945E4]" c="15094.5"/>
              <i n="[SALCE].[Profit].&amp;[1.5874949999999997E4]" c="15874.95"/>
              <i n="[SALCE].[Profit].&amp;[1.6275599999999998E4]" c="16275.6"/>
              <i n="[SALCE].[Profit].&amp;[1.8084E4]" c="18084"/>
              <i n="[SALCE].[Profit].&amp;[1.81134E4]" c="18113.4"/>
              <i n="[SALCE].[Profit].&amp;[1.8142800000000003E4]" c="18142.8"/>
              <i n="[SALCE].[Profit].&amp;[1.884975E4]" c="18849.75"/>
              <i n="[SALCE].[Profit].&amp;[2.0410649999999994E4]" c="20410.65"/>
              <i n="[SALCE].[Profit].&amp;[2.1132300000000003E4]" c="21132.3"/>
              <i n="[SALCE].[Profit].&amp;[2.2605E4]" c="22605"/>
              <i n="[SALCE].[Profit].&amp;[2.2619700000000004E4]" c="22619.7"/>
              <i n="[SALCE].[Profit].&amp;[2.26785E4]" c="22678.5"/>
              <i n="[SALCE].[Profit].&amp;[2.4151199999999997E4]" c="24151.2"/>
              <i n="[SALCE].[Profit].&amp;[2.6389649999999994E4]" c="26389.65"/>
              <i n="[SALCE].[Profit].&amp;[2.7126000000000007E4]" c="27126"/>
              <i n="[SALCE].[Profit].&amp;[2.7170100000000006E4]" c="27170.1"/>
              <i n="[SALCE].[Profit].&amp;[3.0159600000000006E4]" c="30159.6"/>
              <i n="[SALCE].[Profit].&amp;[3.0189E4]" c="30189"/>
              <i n="[SALCE].[Profit].&amp;[3.1647E4]" c="31647"/>
              <i n="[SALCE].[Profit].&amp;[3.392955E4]" c="33929.55"/>
              <i n="[SALCE].[Profit].&amp;[3.6168E4]" c="36168"/>
              <i n="[SALCE].[Profit].&amp;[3.76995E4]" c="37699.5"/>
              <i n="[SALCE].[Profit].&amp;[4.0689E4]" c="40689"/>
            </range>
          </ranges>
        </level>
      </levels>
      <selections count="1">
        <selection n="[SALCE].[Profi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A5E562E7-9ACA-40C3-AF6D-0FDCA3AE2C4C}" sourceName="[SALCE].[Customer]">
  <pivotTables>
    <pivotTable tabId="6" name="PivotTable3"/>
    <pivotTable tabId="4" name="PivotTable1"/>
    <pivotTable tabId="8" name="PivotTable1"/>
    <pivotTable tabId="5" name="PivotTable2"/>
    <pivotTable tabId="10" name="PivotTable1"/>
  </pivotTables>
  <data>
    <olap pivotCacheId="828203237">
      <levels count="2">
        <level uniqueName="[SALCE].[Customer].[(All)]" sourceCaption="(All)" count="0"/>
        <level uniqueName="[SALCE].[Customer].[Customer]" sourceCaption="Customer" count="14">
          <ranges>
            <range startItem="0">
              <i n="[SALCE].[Customer].&amp;[اكادمية المستقبل]" c="اكادمية المستقبل"/>
              <i n="[SALCE].[Customer].&amp;[الافق الرقمي]" c="الافق الرقمي"/>
              <i n="[SALCE].[Customer].&amp;[الامل للتجارة]" c="الامل للتجارة"/>
              <i n="[SALCE].[Customer].&amp;[الخليج للاستراد والتصدير]" c="الخليج للاستراد والتصدير"/>
              <i n="[SALCE].[Customer].&amp;[الدلتا للتكنولوجي]" c="الدلتا للتكنولوجي"/>
              <i n="[SALCE].[Customer].&amp;[الرواد للانظمة]" c="الرواد للانظمة"/>
              <i n="[SALCE].[Customer].&amp;[الصفوة للحلول البرمجية]" c="الصفوة للحلول البرمجية"/>
              <i n="[SALCE].[Customer].&amp;[القاهرة للاتظمة الزكية]" c="القاهرة للاتظمة الزكية"/>
              <i n="[SALCE].[Customer].&amp;[المتحدة للانظمة]" c="المتحدة للانظمة"/>
              <i n="[SALCE].[Customer].&amp;[المصرية للتقنية المعلومات]" c="المصرية للتقنية المعلومات"/>
              <i n="[SALCE].[Customer].&amp;[النخبة للحاسبات]" c="النخبة للحاسبات"/>
              <i n="[SALCE].[Customer].&amp;[النيل للحلول التقنية]" c="النيل للحلول التقنية"/>
              <i n="[SALCE].[Customer].&amp;[كيان للتطوير البرمجي]" c="كيان للتطوير البرمجي"/>
              <i n="[SALCE].[Customer].&amp;[مصر الحديثة للصناعات]" c="مصر الحديثة للصناعات"/>
            </range>
          </ranges>
        </level>
      </levels>
      <selections count="1">
        <selection n="[SALCE].[Custom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E58D0A-716B-422B-B6DF-EB64DF0957BA}" sourceName="[SALCE].[Region]">
  <pivotTables>
    <pivotTable tabId="10" name="PivotTable1"/>
    <pivotTable tabId="4" name="PivotTable1"/>
    <pivotTable tabId="8" name="PivotTable1"/>
    <pivotTable tabId="6" name="PivotTable3"/>
    <pivotTable tabId="5" name="PivotTable2"/>
  </pivotTables>
  <data>
    <olap pivotCacheId="828203237">
      <levels count="2">
        <level uniqueName="[SALCE].[Region].[(All)]" sourceCaption="(All)" count="0"/>
        <level uniqueName="[SALCE].[Region].[Region]" sourceCaption="Region" count="6">
          <ranges>
            <range startItem="0">
              <i n="[SALCE].[Region].&amp;[Alex]" c="Alex"/>
              <i n="[SALCE].[Region].&amp;[Aswan]" c="Aswan"/>
              <i n="[SALCE].[Region].&amp;[Cairo]" c="Cairo"/>
              <i n="[SALCE].[Region].&amp;[Giza]" c="Giza"/>
              <i n="[SALCE].[Region].&amp;[Mansoura]" c="Mansoura"/>
              <i n="[SALCE].[Region].&amp;[Tanta]" c="Tanta"/>
            </range>
          </ranges>
        </level>
      </levels>
      <selections count="1">
        <selection n="[SALC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F9EB124-8FA1-47CD-BCF2-49BFC7888ADB}" cache="Slicer_Product" caption="Product" columnCount="3" level="1" style="SlicerStyleLight6" rowHeight="241300"/>
  <slicer name="Profit" xr10:uid="{3454754E-EE55-41F2-AE90-98A34D86A188}" cache="Slicer_Profit" caption="Profit" startItem="10" columnCount="5" level="1" style="SlicerStyleLight5" rowHeight="241300"/>
  <slicer name="Customer" xr10:uid="{2D7D412D-8980-421D-9503-B9C0EB3F0856}" cache="Slicer_Customer" caption="Customer" startItem="4" columnCount="2" level="1" style="SlicerStyleLight4" rowHeight="241300"/>
  <slicer name="Region" xr10:uid="{EDDBFE62-3974-4C66-840E-A0C5F6A62252}" cache="Slicer_Region" caption="Region" columnCount="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902317-8C0A-41C7-862C-0AAD8EEEEB63}" name="SALCE" displayName="SALCE" ref="A1:T801" headerRowDxfId="41" dataDxfId="40" dataCellStyle="60% - Accent2">
  <tableColumns count="20">
    <tableColumn id="1" xr3:uid="{B6233C09-0A9C-4C81-950B-7DFF9366BB1E}" name="Order_ID" totalsRowLabel="Total" dataDxfId="39" totalsRowDxfId="38" dataCellStyle="60% - Accent2"/>
    <tableColumn id="2" xr3:uid="{EFACEEA0-A21B-4BAB-A9F9-2F59FAEF2B49}" name="Date" dataDxfId="37" totalsRowDxfId="36" dataCellStyle="60% - Accent2"/>
    <tableColumn id="3" xr3:uid="{DF1A9D43-F7DF-4A20-83D1-2FF01E15FFD8}" name="Region" dataDxfId="35" totalsRowDxfId="34"/>
    <tableColumn id="4" xr3:uid="{724D7A10-7060-4687-9ABA-2A68C55E44C7}" name="Salesperson" dataDxfId="33" totalsRowDxfId="32"/>
    <tableColumn id="5" xr3:uid="{A78952A3-59E4-45C6-84D3-52111CB91F56}" name="Product" dataDxfId="31" totalsRowDxfId="30"/>
    <tableColumn id="6" xr3:uid="{D2063DE1-9E11-48E2-9E47-279B05AC430F}" name="Category" dataDxfId="29" totalsRowDxfId="28"/>
    <tableColumn id="7" xr3:uid="{9EFA388B-56BC-432A-8901-AFCF70887C56}" name="Quantity" dataDxfId="27" totalsRowDxfId="26" dataCellStyle="60% - Accent2"/>
    <tableColumn id="8" xr3:uid="{B68C9848-64A9-4815-8B7E-51DBCC7C3C82}" name="Unit_Price" dataDxfId="25" totalsRowDxfId="24" dataCellStyle="60% - Accent2"/>
    <tableColumn id="9" xr3:uid="{31A037DE-3482-4CC9-BDAC-744C2C90A9A5}" name="Discount_%" dataDxfId="23" totalsRowDxfId="22" dataCellStyle="60% - Accent2"/>
    <tableColumn id="19" xr3:uid="{C68267E3-C232-4448-9C02-18777D9D3426}" name="Tax_Value" dataDxfId="21" totalsRowDxfId="20" dataCellStyle="60% - Accent2">
      <calculatedColumnFormula>SALCE[[#This Row],[After_Discount]]*SALCE[[#This Row],[Tax_%]]/100</calculatedColumnFormula>
    </tableColumn>
    <tableColumn id="10" xr3:uid="{74191E96-B692-4E93-BB04-31E060370245}" name="Tax_%" dataDxfId="19" totalsRowDxfId="18" dataCellStyle="60% - Accent2">
      <calculatedColumnFormula>SALCE[[#This Row],[Gross_Sales]]*2%</calculatedColumnFormula>
    </tableColumn>
    <tableColumn id="11" xr3:uid="{7AD2FAA2-CDE1-4452-A9A3-A26C8736BD99}" name="Gross_Sales" dataDxfId="17" dataCellStyle="60% - Accent2">
      <calculatedColumnFormula>SALCE[[#This Row],[Quantity]]*SALCE[[#This Row],[Unit_Price]]</calculatedColumnFormula>
    </tableColumn>
    <tableColumn id="12" xr3:uid="{43473EAB-4619-4FD7-B11D-BB6E521B6027}" name="Discount_Value" dataDxfId="16" totalsRowDxfId="15" dataCellStyle="60% - Accent2">
      <calculatedColumnFormula>SALCE[[#This Row],[Gross_Sales]]*SALCE[[#This Row],[Discount_%]]/100</calculatedColumnFormula>
    </tableColumn>
    <tableColumn id="13" xr3:uid="{86FCA425-7898-4B5C-BB2A-61C9AF2B2665}" name="Net_Sales" dataDxfId="14" totalsRowDxfId="13" dataCellStyle="60% - Accent2">
      <calculatedColumnFormula>SALCE[[#This Row],[After_Discount]]+SALCE[[#This Row],[Tax_Value]]</calculatedColumnFormula>
    </tableColumn>
    <tableColumn id="14" xr3:uid="{595CCBE6-9596-435F-BECC-4F83806FED4D}" name="Cost_Price" dataDxfId="12" totalsRowDxfId="11" dataCellStyle="60% - Accent2">
      <calculatedColumnFormula>SALCE[[#This Row],[Gross_Sales]]*70%</calculatedColumnFormula>
    </tableColumn>
    <tableColumn id="15" xr3:uid="{01BCD937-4007-4195-9736-A735FB4FA690}" name="Profit" dataDxfId="10" totalsRowDxfId="9" dataCellStyle="60% - Accent2">
      <calculatedColumnFormula>SALCE[[#This Row],[Net_Sales]]-SALCE[[#This Row],[Cost_Price]]</calculatedColumnFormula>
    </tableColumn>
    <tableColumn id="18" xr3:uid="{C1DBC7AA-C6A3-41D5-BBB1-461C0766D9C6}" name="After_Discount" dataDxfId="8" totalsRowDxfId="7" dataCellStyle="60% - Accent2">
      <calculatedColumnFormula>SALCE[[#This Row],[Gross_Sales]]-SALCE[[#This Row],[Discount_Value]]</calculatedColumnFormula>
    </tableColumn>
    <tableColumn id="20" xr3:uid="{FCDF02C5-BFFF-443D-A272-4854C35EC069}" name="Customer" dataDxfId="6"/>
    <tableColumn id="16" xr3:uid="{59FF6209-64FF-4EF8-9A93-DD78B6394F71}" name="Payment_Method" dataDxfId="5"/>
    <tableColumn id="17" xr3:uid="{9DCEBD8B-0FEE-4D62-8E64-BCD4221E1DDC}" name="Customer_Type" totalsRowFunction="count" dataDxfId="4"/>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9EAD5E-B48A-49A9-A872-07785733B6E0}" name="Table4" displayName="Table4" ref="M6:M20" totalsRowShown="0" tableBorderDxfId="3">
  <autoFilter ref="M6:M20" xr:uid="{659EAD5E-B48A-49A9-A872-07785733B6E0}"/>
  <tableColumns count="1">
    <tableColumn id="1" xr3:uid="{BE7B1FF9-C8F4-4285-B389-78ADB3F0C14F}" name="Custmer"/>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9657023-A7FE-4EB3-81EF-50DA9D18064A}" name="Table5" displayName="Table5" ref="K6:K11" totalsRowShown="0">
  <autoFilter ref="K6:K11" xr:uid="{A9657023-A7FE-4EB3-81EF-50DA9D18064A}"/>
  <tableColumns count="1">
    <tableColumn id="1" xr3:uid="{A4397600-00F1-46E1-B995-110E91D22C01}" name="Payment_Method"/>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4D94A7-EECC-4CFB-874B-8C8B0BCE6118}" name="Table2" displayName="Table2" ref="H6:H21" totalsRowShown="0">
  <autoFilter ref="H6:H21" xr:uid="{8F4D94A7-EECC-4CFB-874B-8C8B0BCE6118}"/>
  <tableColumns count="1">
    <tableColumn id="1" xr3:uid="{B4AD4B1F-95B5-4064-9D7E-68E8A25F6B23}" name="Column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9CFF-0EC6-4116-9221-7C24ECE1BFF6}">
  <sheetPr>
    <tabColor theme="6" tint="-0.249977111117893"/>
  </sheetPr>
  <dimension ref="A3:C10"/>
  <sheetViews>
    <sheetView workbookViewId="0">
      <selection activeCell="J4" sqref="J4"/>
    </sheetView>
  </sheetViews>
  <sheetFormatPr defaultRowHeight="15" x14ac:dyDescent="0.25"/>
  <cols>
    <col min="1" max="1" width="13.140625" bestFit="1" customWidth="1"/>
    <col min="2" max="2" width="17" bestFit="1" customWidth="1"/>
    <col min="3" max="4" width="18.42578125" bestFit="1" customWidth="1"/>
    <col min="5" max="6" width="15.42578125" bestFit="1" customWidth="1"/>
  </cols>
  <sheetData>
    <row r="3" spans="1:3" x14ac:dyDescent="0.25">
      <c r="A3" s="13" t="s">
        <v>63</v>
      </c>
      <c r="B3" t="s">
        <v>65</v>
      </c>
      <c r="C3" t="s">
        <v>66</v>
      </c>
    </row>
    <row r="4" spans="1:3" x14ac:dyDescent="0.25">
      <c r="A4" s="6" t="s">
        <v>40</v>
      </c>
      <c r="B4" s="24">
        <v>112000</v>
      </c>
      <c r="C4" s="24">
        <v>579200</v>
      </c>
    </row>
    <row r="5" spans="1:3" x14ac:dyDescent="0.25">
      <c r="A5" s="6" t="s">
        <v>25</v>
      </c>
      <c r="B5" s="24">
        <v>65000</v>
      </c>
      <c r="C5" s="24">
        <v>353500</v>
      </c>
    </row>
    <row r="6" spans="1:3" x14ac:dyDescent="0.25">
      <c r="A6" s="6" t="s">
        <v>31</v>
      </c>
      <c r="B6" s="24">
        <v>1950000</v>
      </c>
      <c r="C6" s="24">
        <v>9630000</v>
      </c>
    </row>
    <row r="7" spans="1:3" x14ac:dyDescent="0.25">
      <c r="A7" s="6" t="s">
        <v>34</v>
      </c>
      <c r="B7" s="24">
        <v>568000</v>
      </c>
      <c r="C7" s="24">
        <v>3084000</v>
      </c>
    </row>
    <row r="8" spans="1:3" x14ac:dyDescent="0.25">
      <c r="A8" s="6" t="s">
        <v>19</v>
      </c>
      <c r="B8" s="24">
        <v>41700</v>
      </c>
      <c r="C8" s="24">
        <v>212700</v>
      </c>
    </row>
    <row r="9" spans="1:3" x14ac:dyDescent="0.25">
      <c r="A9" s="6" t="s">
        <v>33</v>
      </c>
      <c r="B9" s="24">
        <v>714000</v>
      </c>
      <c r="C9" s="24">
        <v>3864000</v>
      </c>
    </row>
    <row r="10" spans="1:3" x14ac:dyDescent="0.25">
      <c r="A10" s="6" t="s">
        <v>64</v>
      </c>
      <c r="B10" s="24">
        <v>3450700</v>
      </c>
      <c r="C10" s="24">
        <v>17723400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E1055-D2CB-4050-9B58-70A99737B478}">
  <sheetPr>
    <tabColor rgb="FFFFC000"/>
  </sheetPr>
  <dimension ref="A3:C10"/>
  <sheetViews>
    <sheetView workbookViewId="0">
      <selection activeCell="I28" sqref="I28"/>
    </sheetView>
  </sheetViews>
  <sheetFormatPr defaultRowHeight="15" x14ac:dyDescent="0.25"/>
  <cols>
    <col min="1" max="1" width="13.140625" bestFit="1" customWidth="1"/>
    <col min="2" max="2" width="17" bestFit="1" customWidth="1"/>
    <col min="3" max="3" width="12.5703125" bestFit="1" customWidth="1"/>
  </cols>
  <sheetData>
    <row r="3" spans="1:3" x14ac:dyDescent="0.25">
      <c r="A3" s="13" t="s">
        <v>63</v>
      </c>
      <c r="B3" t="s">
        <v>70</v>
      </c>
      <c r="C3" t="s">
        <v>71</v>
      </c>
    </row>
    <row r="4" spans="1:3" x14ac:dyDescent="0.25">
      <c r="A4" s="6" t="s">
        <v>40</v>
      </c>
      <c r="B4" s="24">
        <v>405440</v>
      </c>
      <c r="C4" s="24">
        <v>130789.67200000001</v>
      </c>
    </row>
    <row r="5" spans="1:3" x14ac:dyDescent="0.25">
      <c r="A5" s="6" t="s">
        <v>25</v>
      </c>
      <c r="B5" s="24">
        <v>247450</v>
      </c>
      <c r="C5" s="24">
        <v>81585.005000000063</v>
      </c>
    </row>
    <row r="6" spans="1:3" x14ac:dyDescent="0.25">
      <c r="A6" s="6" t="s">
        <v>31</v>
      </c>
      <c r="B6" s="24">
        <v>6741000</v>
      </c>
      <c r="C6" s="24">
        <v>2136411.0000000005</v>
      </c>
    </row>
    <row r="7" spans="1:3" x14ac:dyDescent="0.25">
      <c r="A7" s="6" t="s">
        <v>34</v>
      </c>
      <c r="B7" s="24">
        <v>2158800</v>
      </c>
      <c r="C7" s="24">
        <v>686577.96</v>
      </c>
    </row>
    <row r="8" spans="1:3" x14ac:dyDescent="0.25">
      <c r="A8" s="6" t="s">
        <v>19</v>
      </c>
      <c r="B8" s="24">
        <v>148890</v>
      </c>
      <c r="C8" s="24">
        <v>48350.750999999989</v>
      </c>
    </row>
    <row r="9" spans="1:3" x14ac:dyDescent="0.25">
      <c r="A9" s="6" t="s">
        <v>33</v>
      </c>
      <c r="B9" s="24">
        <v>2704800</v>
      </c>
      <c r="C9" s="24">
        <v>884618.15999999992</v>
      </c>
    </row>
    <row r="10" spans="1:3" x14ac:dyDescent="0.25">
      <c r="A10" s="6" t="s">
        <v>64</v>
      </c>
      <c r="B10" s="24">
        <v>12406380</v>
      </c>
      <c r="C10" s="24">
        <v>3968332.5480000009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883B-3980-4977-AED5-A13A8229FE0F}">
  <dimension ref="A3:E10"/>
  <sheetViews>
    <sheetView workbookViewId="0">
      <selection activeCell="H26" sqref="H26"/>
    </sheetView>
  </sheetViews>
  <sheetFormatPr defaultRowHeight="15" x14ac:dyDescent="0.25"/>
  <cols>
    <col min="1" max="1" width="13.140625" bestFit="1" customWidth="1"/>
    <col min="2" max="2" width="21.85546875" bestFit="1" customWidth="1"/>
    <col min="3" max="3" width="16.85546875" bestFit="1" customWidth="1"/>
    <col min="4" max="4" width="17" bestFit="1" customWidth="1"/>
    <col min="5" max="5" width="12.5703125" bestFit="1" customWidth="1"/>
    <col min="6" max="7" width="17" bestFit="1" customWidth="1"/>
  </cols>
  <sheetData>
    <row r="3" spans="1:5" x14ac:dyDescent="0.25">
      <c r="A3" s="13" t="s">
        <v>63</v>
      </c>
      <c r="B3" t="s">
        <v>73</v>
      </c>
      <c r="C3" t="s">
        <v>69</v>
      </c>
      <c r="D3" t="s">
        <v>65</v>
      </c>
      <c r="E3" t="s">
        <v>71</v>
      </c>
    </row>
    <row r="4" spans="1:5" x14ac:dyDescent="0.25">
      <c r="A4" s="6" t="s">
        <v>40</v>
      </c>
      <c r="B4" s="24">
        <v>43720</v>
      </c>
      <c r="C4" s="24">
        <v>749.67200000000003</v>
      </c>
      <c r="D4" s="24">
        <v>112000</v>
      </c>
      <c r="E4" s="24">
        <v>130789.67200000001</v>
      </c>
    </row>
    <row r="5" spans="1:5" x14ac:dyDescent="0.25">
      <c r="A5" s="6" t="s">
        <v>25</v>
      </c>
      <c r="B5" s="24">
        <v>24925</v>
      </c>
      <c r="C5" s="24">
        <v>460.00500000000011</v>
      </c>
      <c r="D5" s="24">
        <v>65000</v>
      </c>
      <c r="E5" s="24">
        <v>81585.005000000063</v>
      </c>
    </row>
    <row r="6" spans="1:5" x14ac:dyDescent="0.25">
      <c r="A6" s="6" t="s">
        <v>31</v>
      </c>
      <c r="B6" s="24">
        <v>765000</v>
      </c>
      <c r="C6" s="24">
        <v>12411.000000000004</v>
      </c>
      <c r="D6" s="24">
        <v>1950000</v>
      </c>
      <c r="E6" s="24">
        <v>2136411.0000000005</v>
      </c>
    </row>
    <row r="7" spans="1:5" x14ac:dyDescent="0.25">
      <c r="A7" s="6" t="s">
        <v>34</v>
      </c>
      <c r="B7" s="24">
        <v>242600</v>
      </c>
      <c r="C7" s="24">
        <v>3977.9599999999996</v>
      </c>
      <c r="D7" s="24">
        <v>568000</v>
      </c>
      <c r="E7" s="24">
        <v>686577.96</v>
      </c>
    </row>
    <row r="8" spans="1:5" x14ac:dyDescent="0.25">
      <c r="A8" s="6" t="s">
        <v>19</v>
      </c>
      <c r="B8" s="24">
        <v>15735</v>
      </c>
      <c r="C8" s="24">
        <v>275.75099999999981</v>
      </c>
      <c r="D8" s="24">
        <v>41700</v>
      </c>
      <c r="E8" s="24">
        <v>48350.750999999989</v>
      </c>
    </row>
    <row r="9" spans="1:5" x14ac:dyDescent="0.25">
      <c r="A9" s="6" t="s">
        <v>33</v>
      </c>
      <c r="B9" s="24">
        <v>279600</v>
      </c>
      <c r="C9" s="24">
        <v>5018.1600000000008</v>
      </c>
      <c r="D9" s="24">
        <v>714000</v>
      </c>
      <c r="E9" s="24">
        <v>884618.15999999992</v>
      </c>
    </row>
    <row r="10" spans="1:5" x14ac:dyDescent="0.25">
      <c r="A10" s="6" t="s">
        <v>64</v>
      </c>
      <c r="B10" s="24">
        <v>1371580</v>
      </c>
      <c r="C10" s="24">
        <v>22892.548000000006</v>
      </c>
      <c r="D10" s="24">
        <v>3450700</v>
      </c>
      <c r="E10" s="24">
        <v>3968332.5480000009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U802"/>
  <sheetViews>
    <sheetView topLeftCell="J1" zoomScale="70" zoomScaleNormal="70" workbookViewId="0">
      <selection activeCell="L14" sqref="L14"/>
    </sheetView>
  </sheetViews>
  <sheetFormatPr defaultRowHeight="21" x14ac:dyDescent="0.35"/>
  <cols>
    <col min="1" max="1" width="25.7109375" customWidth="1"/>
    <col min="2" max="2" width="31.7109375" style="1" customWidth="1"/>
    <col min="3" max="3" width="20.5703125" customWidth="1"/>
    <col min="4" max="4" width="33" customWidth="1"/>
    <col min="5" max="5" width="21.7109375" customWidth="1"/>
    <col min="6" max="6" width="25.42578125" customWidth="1"/>
    <col min="7" max="7" width="24.7109375" customWidth="1"/>
    <col min="8" max="8" width="27.85546875" customWidth="1"/>
    <col min="9" max="9" width="33.5703125" style="5" customWidth="1"/>
    <col min="10" max="10" width="28.140625" customWidth="1"/>
    <col min="11" max="11" width="23.28515625" style="4" customWidth="1"/>
    <col min="12" max="12" width="32.140625" style="3" customWidth="1"/>
    <col min="13" max="13" width="34.5703125" style="2" customWidth="1"/>
    <col min="14" max="14" width="34.28515625" style="2" customWidth="1"/>
    <col min="15" max="15" width="39.5703125" style="2" customWidth="1"/>
    <col min="16" max="16" width="33.140625" style="2" customWidth="1"/>
    <col min="17" max="17" width="28.140625" style="2" customWidth="1"/>
    <col min="18" max="18" width="28.5703125" style="15" customWidth="1"/>
    <col min="19" max="19" width="31" style="15" customWidth="1"/>
    <col min="20" max="20" width="32.7109375" style="15" customWidth="1"/>
    <col min="21" max="21" width="22.28515625" customWidth="1"/>
    <col min="22" max="29" width="11" customWidth="1"/>
    <col min="30" max="31" width="12" customWidth="1"/>
  </cols>
  <sheetData>
    <row r="1" spans="1:21" s="17" customFormat="1" ht="30" customHeight="1" x14ac:dyDescent="0.4">
      <c r="A1" s="17" t="s">
        <v>0</v>
      </c>
      <c r="B1" s="18" t="s">
        <v>1</v>
      </c>
      <c r="C1" s="17" t="s">
        <v>2</v>
      </c>
      <c r="D1" s="17" t="s">
        <v>3</v>
      </c>
      <c r="E1" s="17" t="s">
        <v>4</v>
      </c>
      <c r="F1" s="17" t="s">
        <v>5</v>
      </c>
      <c r="G1" s="17" t="s">
        <v>6</v>
      </c>
      <c r="H1" s="17" t="s">
        <v>7</v>
      </c>
      <c r="I1" s="19" t="s">
        <v>8</v>
      </c>
      <c r="J1" s="17" t="s">
        <v>43</v>
      </c>
      <c r="K1" s="20" t="s">
        <v>9</v>
      </c>
      <c r="L1" s="21" t="s">
        <v>10</v>
      </c>
      <c r="M1" s="22" t="s">
        <v>11</v>
      </c>
      <c r="N1" s="22" t="s">
        <v>12</v>
      </c>
      <c r="O1" s="22" t="s">
        <v>13</v>
      </c>
      <c r="P1" s="22" t="s">
        <v>14</v>
      </c>
      <c r="Q1" s="22" t="s">
        <v>42</v>
      </c>
      <c r="R1" s="22" t="s">
        <v>44</v>
      </c>
      <c r="S1" s="22" t="s">
        <v>15</v>
      </c>
      <c r="T1" s="22" t="s">
        <v>16</v>
      </c>
      <c r="U1" s="16"/>
    </row>
    <row r="2" spans="1:21" s="12" customFormat="1" ht="30" customHeight="1" thickBot="1" x14ac:dyDescent="0.4">
      <c r="A2" s="7">
        <v>1001</v>
      </c>
      <c r="B2" s="8">
        <v>45658</v>
      </c>
      <c r="C2" s="14" t="s">
        <v>17</v>
      </c>
      <c r="D2" s="14" t="s">
        <v>18</v>
      </c>
      <c r="E2" s="14" t="s">
        <v>19</v>
      </c>
      <c r="F2" s="14" t="s">
        <v>20</v>
      </c>
      <c r="G2" s="7">
        <v>7</v>
      </c>
      <c r="H2" s="7">
        <v>300</v>
      </c>
      <c r="I2" s="9">
        <v>0</v>
      </c>
      <c r="J2" s="10">
        <f>SALCE[[#This Row],[After_Discount]]*SALCE[[#This Row],[Tax_%]]/100</f>
        <v>2.94</v>
      </c>
      <c r="K2" s="11">
        <v>0.14000000000000001</v>
      </c>
      <c r="L2" s="10">
        <f>SALCE[[#This Row],[Quantity]]*SALCE[[#This Row],[Unit_Price]]</f>
        <v>2100</v>
      </c>
      <c r="M2" s="10">
        <f>SALCE[[#This Row],[Gross_Sales]]*SALCE[[#This Row],[Discount_%]]/100</f>
        <v>0</v>
      </c>
      <c r="N2" s="10">
        <f>SALCE[[#This Row],[After_Discount]]+SALCE[[#This Row],[Tax_Value]]</f>
        <v>2102.94</v>
      </c>
      <c r="O2" s="10">
        <f>SALCE[[#This Row],[Gross_Sales]]*70%</f>
        <v>1470</v>
      </c>
      <c r="P2" s="10">
        <f>SALCE[[#This Row],[Net_Sales]]-SALCE[[#This Row],[Cost_Price]]</f>
        <v>632.94000000000005</v>
      </c>
      <c r="Q2" s="10">
        <f>SALCE[[#This Row],[Gross_Sales]]-SALCE[[#This Row],[Discount_Value]]</f>
        <v>2100</v>
      </c>
      <c r="R2" s="15" t="s">
        <v>62</v>
      </c>
      <c r="S2" s="15" t="s">
        <v>21</v>
      </c>
      <c r="T2" s="15" t="s">
        <v>22</v>
      </c>
    </row>
    <row r="3" spans="1:21" s="12" customFormat="1" ht="30" customHeight="1" thickTop="1" thickBot="1" x14ac:dyDescent="0.4">
      <c r="A3" s="7">
        <v>1002</v>
      </c>
      <c r="B3" s="8">
        <v>45659</v>
      </c>
      <c r="C3" s="14" t="s">
        <v>23</v>
      </c>
      <c r="D3" s="14" t="s">
        <v>24</v>
      </c>
      <c r="E3" s="14" t="s">
        <v>25</v>
      </c>
      <c r="F3" s="14" t="s">
        <v>20</v>
      </c>
      <c r="G3" s="7">
        <v>6</v>
      </c>
      <c r="H3" s="7">
        <v>500</v>
      </c>
      <c r="I3" s="9">
        <v>15</v>
      </c>
      <c r="J3" s="10">
        <f>SALCE[[#This Row],[After_Discount]]*SALCE[[#This Row],[Tax_%]]/100</f>
        <v>3.5700000000000007</v>
      </c>
      <c r="K3" s="11">
        <v>0.14000000000000001</v>
      </c>
      <c r="L3" s="10">
        <f>SALCE[[#This Row],[Quantity]]*SALCE[[#This Row],[Unit_Price]]</f>
        <v>3000</v>
      </c>
      <c r="M3" s="10">
        <f>SALCE[[#This Row],[Gross_Sales]]*SALCE[[#This Row],[Discount_%]]/100</f>
        <v>450</v>
      </c>
      <c r="N3" s="10">
        <f>SALCE[[#This Row],[After_Discount]]+SALCE[[#This Row],[Tax_Value]]</f>
        <v>2553.5700000000002</v>
      </c>
      <c r="O3" s="10">
        <f>SALCE[[#This Row],[Gross_Sales]]*70%</f>
        <v>2100</v>
      </c>
      <c r="P3" s="10">
        <f>SALCE[[#This Row],[Net_Sales]]-SALCE[[#This Row],[Cost_Price]]</f>
        <v>453.57000000000016</v>
      </c>
      <c r="Q3" s="10">
        <f>SALCE[[#This Row],[Gross_Sales]]-SALCE[[#This Row],[Discount_Value]]</f>
        <v>2550</v>
      </c>
      <c r="R3" s="15" t="s">
        <v>52</v>
      </c>
      <c r="S3" s="15" t="s">
        <v>37</v>
      </c>
      <c r="T3" s="15" t="s">
        <v>27</v>
      </c>
    </row>
    <row r="4" spans="1:21" s="12" customFormat="1" ht="30" customHeight="1" thickTop="1" thickBot="1" x14ac:dyDescent="0.4">
      <c r="A4" s="7">
        <v>1003</v>
      </c>
      <c r="B4" s="8">
        <v>45660</v>
      </c>
      <c r="C4" s="14" t="s">
        <v>28</v>
      </c>
      <c r="D4" s="14" t="s">
        <v>29</v>
      </c>
      <c r="E4" s="14" t="s">
        <v>19</v>
      </c>
      <c r="F4" s="14" t="s">
        <v>20</v>
      </c>
      <c r="G4" s="7">
        <v>7</v>
      </c>
      <c r="H4" s="7">
        <v>300</v>
      </c>
      <c r="I4" s="9">
        <v>5</v>
      </c>
      <c r="J4" s="10">
        <f>SALCE[[#This Row],[After_Discount]]*SALCE[[#This Row],[Tax_%]]/100</f>
        <v>2.7930000000000001</v>
      </c>
      <c r="K4" s="11">
        <v>0.14000000000000001</v>
      </c>
      <c r="L4" s="10">
        <f>SALCE[[#This Row],[Quantity]]*SALCE[[#This Row],[Unit_Price]]</f>
        <v>2100</v>
      </c>
      <c r="M4" s="10">
        <f>SALCE[[#This Row],[Gross_Sales]]*SALCE[[#This Row],[Discount_%]]/100</f>
        <v>105</v>
      </c>
      <c r="N4" s="10">
        <f>SALCE[[#This Row],[After_Discount]]+SALCE[[#This Row],[Tax_Value]]</f>
        <v>1997.7929999999999</v>
      </c>
      <c r="O4" s="10">
        <f>SALCE[[#This Row],[Gross_Sales]]*70%</f>
        <v>1470</v>
      </c>
      <c r="P4" s="10">
        <f>SALCE[[#This Row],[Net_Sales]]-SALCE[[#This Row],[Cost_Price]]</f>
        <v>527.79299999999989</v>
      </c>
      <c r="Q4" s="10">
        <f>SALCE[[#This Row],[Gross_Sales]]-SALCE[[#This Row],[Discount_Value]]</f>
        <v>1995</v>
      </c>
      <c r="R4" s="15" t="s">
        <v>56</v>
      </c>
      <c r="S4" s="15" t="s">
        <v>26</v>
      </c>
      <c r="T4" s="15" t="s">
        <v>22</v>
      </c>
    </row>
    <row r="5" spans="1:21" s="12" customFormat="1" ht="30" customHeight="1" thickTop="1" thickBot="1" x14ac:dyDescent="0.4">
      <c r="A5" s="7">
        <v>1004</v>
      </c>
      <c r="B5" s="8">
        <v>45661</v>
      </c>
      <c r="C5" s="14" t="s">
        <v>30</v>
      </c>
      <c r="D5" s="14" t="s">
        <v>18</v>
      </c>
      <c r="E5" s="14" t="s">
        <v>31</v>
      </c>
      <c r="F5" s="14" t="s">
        <v>32</v>
      </c>
      <c r="G5" s="7">
        <v>7</v>
      </c>
      <c r="H5" s="7">
        <v>15000</v>
      </c>
      <c r="I5" s="9">
        <v>10</v>
      </c>
      <c r="J5" s="10">
        <f>SALCE[[#This Row],[After_Discount]]*SALCE[[#This Row],[Tax_%]]/100</f>
        <v>132.30000000000001</v>
      </c>
      <c r="K5" s="11">
        <v>0.14000000000000001</v>
      </c>
      <c r="L5" s="10">
        <f>SALCE[[#This Row],[Quantity]]*SALCE[[#This Row],[Unit_Price]]</f>
        <v>105000</v>
      </c>
      <c r="M5" s="10">
        <f>SALCE[[#This Row],[Gross_Sales]]*SALCE[[#This Row],[Discount_%]]/100</f>
        <v>10500</v>
      </c>
      <c r="N5" s="10">
        <f>SALCE[[#This Row],[After_Discount]]+SALCE[[#This Row],[Tax_Value]]</f>
        <v>94632.3</v>
      </c>
      <c r="O5" s="10">
        <f>SALCE[[#This Row],[Gross_Sales]]*70%</f>
        <v>73500</v>
      </c>
      <c r="P5" s="10">
        <f>SALCE[[#This Row],[Net_Sales]]-SALCE[[#This Row],[Cost_Price]]</f>
        <v>21132.300000000003</v>
      </c>
      <c r="Q5" s="10">
        <f>SALCE[[#This Row],[Gross_Sales]]-SALCE[[#This Row],[Discount_Value]]</f>
        <v>94500</v>
      </c>
      <c r="R5" s="15" t="s">
        <v>53</v>
      </c>
      <c r="S5" s="15" t="s">
        <v>21</v>
      </c>
      <c r="T5" s="15" t="s">
        <v>27</v>
      </c>
    </row>
    <row r="6" spans="1:21" s="12" customFormat="1" ht="30" customHeight="1" thickTop="1" thickBot="1" x14ac:dyDescent="0.4">
      <c r="A6" s="7">
        <v>1005</v>
      </c>
      <c r="B6" s="8">
        <v>45662</v>
      </c>
      <c r="C6" s="14" t="s">
        <v>17</v>
      </c>
      <c r="D6" s="14" t="s">
        <v>18</v>
      </c>
      <c r="E6" s="14" t="s">
        <v>33</v>
      </c>
      <c r="F6" s="14" t="s">
        <v>32</v>
      </c>
      <c r="G6" s="7">
        <v>9</v>
      </c>
      <c r="H6" s="7">
        <v>6000</v>
      </c>
      <c r="I6" s="9">
        <v>0</v>
      </c>
      <c r="J6" s="10">
        <f>SALCE[[#This Row],[After_Discount]]*SALCE[[#This Row],[Tax_%]]/100</f>
        <v>75.600000000000009</v>
      </c>
      <c r="K6" s="11">
        <v>0.14000000000000001</v>
      </c>
      <c r="L6" s="10">
        <f>SALCE[[#This Row],[Quantity]]*SALCE[[#This Row],[Unit_Price]]</f>
        <v>54000</v>
      </c>
      <c r="M6" s="10">
        <f>SALCE[[#This Row],[Gross_Sales]]*SALCE[[#This Row],[Discount_%]]/100</f>
        <v>0</v>
      </c>
      <c r="N6" s="10">
        <f>SALCE[[#This Row],[After_Discount]]+SALCE[[#This Row],[Tax_Value]]</f>
        <v>54075.6</v>
      </c>
      <c r="O6" s="10">
        <f>SALCE[[#This Row],[Gross_Sales]]*70%</f>
        <v>37800</v>
      </c>
      <c r="P6" s="10">
        <f>SALCE[[#This Row],[Net_Sales]]-SALCE[[#This Row],[Cost_Price]]</f>
        <v>16275.599999999999</v>
      </c>
      <c r="Q6" s="10">
        <f>SALCE[[#This Row],[Gross_Sales]]-SALCE[[#This Row],[Discount_Value]]</f>
        <v>54000</v>
      </c>
      <c r="R6" s="15" t="s">
        <v>61</v>
      </c>
      <c r="S6" s="15" t="s">
        <v>26</v>
      </c>
      <c r="T6" s="15" t="s">
        <v>27</v>
      </c>
    </row>
    <row r="7" spans="1:21" s="12" customFormat="1" ht="30" customHeight="1" thickTop="1" thickBot="1" x14ac:dyDescent="0.4">
      <c r="A7" s="7">
        <v>1006</v>
      </c>
      <c r="B7" s="8">
        <v>45663</v>
      </c>
      <c r="C7" s="14" t="s">
        <v>30</v>
      </c>
      <c r="D7" s="14" t="s">
        <v>29</v>
      </c>
      <c r="E7" s="14" t="s">
        <v>19</v>
      </c>
      <c r="F7" s="14" t="s">
        <v>20</v>
      </c>
      <c r="G7" s="7">
        <v>1</v>
      </c>
      <c r="H7" s="7">
        <v>300</v>
      </c>
      <c r="I7" s="9">
        <v>15</v>
      </c>
      <c r="J7" s="10">
        <f>SALCE[[#This Row],[After_Discount]]*SALCE[[#This Row],[Tax_%]]/100</f>
        <v>0.35700000000000004</v>
      </c>
      <c r="K7" s="11">
        <v>0.14000000000000001</v>
      </c>
      <c r="L7" s="10">
        <f>SALCE[[#This Row],[Quantity]]*SALCE[[#This Row],[Unit_Price]]</f>
        <v>300</v>
      </c>
      <c r="M7" s="10">
        <f>SALCE[[#This Row],[Gross_Sales]]*SALCE[[#This Row],[Discount_%]]/100</f>
        <v>45</v>
      </c>
      <c r="N7" s="10">
        <f>SALCE[[#This Row],[After_Discount]]+SALCE[[#This Row],[Tax_Value]]</f>
        <v>255.357</v>
      </c>
      <c r="O7" s="10">
        <f>SALCE[[#This Row],[Gross_Sales]]*70%</f>
        <v>210</v>
      </c>
      <c r="P7" s="10">
        <f>SALCE[[#This Row],[Net_Sales]]-SALCE[[#This Row],[Cost_Price]]</f>
        <v>45.356999999999999</v>
      </c>
      <c r="Q7" s="10">
        <f>SALCE[[#This Row],[Gross_Sales]]-SALCE[[#This Row],[Discount_Value]]</f>
        <v>255</v>
      </c>
      <c r="R7" s="15" t="s">
        <v>54</v>
      </c>
      <c r="S7" s="15" t="s">
        <v>21</v>
      </c>
      <c r="T7" s="15" t="s">
        <v>22</v>
      </c>
    </row>
    <row r="8" spans="1:21" s="12" customFormat="1" ht="30" customHeight="1" thickTop="1" thickBot="1" x14ac:dyDescent="0.4">
      <c r="A8" s="7">
        <v>1007</v>
      </c>
      <c r="B8" s="8">
        <v>45664</v>
      </c>
      <c r="C8" s="14" t="s">
        <v>30</v>
      </c>
      <c r="D8" s="14" t="s">
        <v>18</v>
      </c>
      <c r="E8" s="14" t="s">
        <v>34</v>
      </c>
      <c r="F8" s="14" t="s">
        <v>32</v>
      </c>
      <c r="G8" s="7">
        <v>7</v>
      </c>
      <c r="H8" s="7">
        <v>4000</v>
      </c>
      <c r="I8" s="9">
        <v>10</v>
      </c>
      <c r="J8" s="10">
        <f>SALCE[[#This Row],[After_Discount]]*SALCE[[#This Row],[Tax_%]]/100</f>
        <v>35.28</v>
      </c>
      <c r="K8" s="11">
        <v>0.14000000000000001</v>
      </c>
      <c r="L8" s="10">
        <f>SALCE[[#This Row],[Quantity]]*SALCE[[#This Row],[Unit_Price]]</f>
        <v>28000</v>
      </c>
      <c r="M8" s="10">
        <f>SALCE[[#This Row],[Gross_Sales]]*SALCE[[#This Row],[Discount_%]]/100</f>
        <v>2800</v>
      </c>
      <c r="N8" s="10">
        <f>SALCE[[#This Row],[After_Discount]]+SALCE[[#This Row],[Tax_Value]]</f>
        <v>25235.279999999999</v>
      </c>
      <c r="O8" s="10">
        <f>SALCE[[#This Row],[Gross_Sales]]*70%</f>
        <v>19600</v>
      </c>
      <c r="P8" s="10">
        <f>SALCE[[#This Row],[Net_Sales]]-SALCE[[#This Row],[Cost_Price]]</f>
        <v>5635.2799999999988</v>
      </c>
      <c r="Q8" s="10">
        <f>SALCE[[#This Row],[Gross_Sales]]-SALCE[[#This Row],[Discount_Value]]</f>
        <v>25200</v>
      </c>
      <c r="R8" s="15" t="s">
        <v>58</v>
      </c>
      <c r="S8" s="15" t="s">
        <v>21</v>
      </c>
      <c r="T8" s="15" t="s">
        <v>27</v>
      </c>
    </row>
    <row r="9" spans="1:21" s="12" customFormat="1" ht="30" customHeight="1" thickTop="1" thickBot="1" x14ac:dyDescent="0.4">
      <c r="A9" s="7">
        <v>1008</v>
      </c>
      <c r="B9" s="8">
        <v>45665</v>
      </c>
      <c r="C9" s="14" t="s">
        <v>35</v>
      </c>
      <c r="D9" s="14" t="s">
        <v>18</v>
      </c>
      <c r="E9" s="14" t="s">
        <v>31</v>
      </c>
      <c r="F9" s="14" t="s">
        <v>32</v>
      </c>
      <c r="G9" s="7">
        <v>4</v>
      </c>
      <c r="H9" s="7">
        <v>15000</v>
      </c>
      <c r="I9" s="9">
        <v>0</v>
      </c>
      <c r="J9" s="10">
        <f>SALCE[[#This Row],[After_Discount]]*SALCE[[#This Row],[Tax_%]]/100</f>
        <v>84</v>
      </c>
      <c r="K9" s="11">
        <v>0.14000000000000001</v>
      </c>
      <c r="L9" s="10">
        <f>SALCE[[#This Row],[Quantity]]*SALCE[[#This Row],[Unit_Price]]</f>
        <v>60000</v>
      </c>
      <c r="M9" s="10">
        <f>SALCE[[#This Row],[Gross_Sales]]*SALCE[[#This Row],[Discount_%]]/100</f>
        <v>0</v>
      </c>
      <c r="N9" s="10">
        <f>SALCE[[#This Row],[After_Discount]]+SALCE[[#This Row],[Tax_Value]]</f>
        <v>60084</v>
      </c>
      <c r="O9" s="10">
        <f>SALCE[[#This Row],[Gross_Sales]]*70%</f>
        <v>42000</v>
      </c>
      <c r="P9" s="10">
        <f>SALCE[[#This Row],[Net_Sales]]-SALCE[[#This Row],[Cost_Price]]</f>
        <v>18084</v>
      </c>
      <c r="Q9" s="10">
        <f>SALCE[[#This Row],[Gross_Sales]]-SALCE[[#This Row],[Discount_Value]]</f>
        <v>60000</v>
      </c>
      <c r="R9" s="15" t="s">
        <v>50</v>
      </c>
      <c r="S9" s="15" t="s">
        <v>26</v>
      </c>
      <c r="T9" s="15" t="s">
        <v>27</v>
      </c>
    </row>
    <row r="10" spans="1:21" s="12" customFormat="1" ht="30" customHeight="1" thickTop="1" thickBot="1" x14ac:dyDescent="0.4">
      <c r="A10" s="7">
        <v>1009</v>
      </c>
      <c r="B10" s="8">
        <v>45666</v>
      </c>
      <c r="C10" s="14" t="s">
        <v>23</v>
      </c>
      <c r="D10" s="14" t="s">
        <v>36</v>
      </c>
      <c r="E10" s="14" t="s">
        <v>33</v>
      </c>
      <c r="F10" s="14" t="s">
        <v>32</v>
      </c>
      <c r="G10" s="7">
        <v>10</v>
      </c>
      <c r="H10" s="7">
        <v>6000</v>
      </c>
      <c r="I10" s="9">
        <v>15</v>
      </c>
      <c r="J10" s="10">
        <f>SALCE[[#This Row],[After_Discount]]*SALCE[[#This Row],[Tax_%]]/100</f>
        <v>71.400000000000006</v>
      </c>
      <c r="K10" s="11">
        <v>0.14000000000000001</v>
      </c>
      <c r="L10" s="10">
        <f>SALCE[[#This Row],[Quantity]]*SALCE[[#This Row],[Unit_Price]]</f>
        <v>60000</v>
      </c>
      <c r="M10" s="10">
        <f>SALCE[[#This Row],[Gross_Sales]]*SALCE[[#This Row],[Discount_%]]/100</f>
        <v>9000</v>
      </c>
      <c r="N10" s="10">
        <f>SALCE[[#This Row],[After_Discount]]+SALCE[[#This Row],[Tax_Value]]</f>
        <v>51071.4</v>
      </c>
      <c r="O10" s="10">
        <f>SALCE[[#This Row],[Gross_Sales]]*70%</f>
        <v>42000</v>
      </c>
      <c r="P10" s="10">
        <f>SALCE[[#This Row],[Net_Sales]]-SALCE[[#This Row],[Cost_Price]]</f>
        <v>9071.4000000000015</v>
      </c>
      <c r="Q10" s="10">
        <f>SALCE[[#This Row],[Gross_Sales]]-SALCE[[#This Row],[Discount_Value]]</f>
        <v>51000</v>
      </c>
      <c r="R10" s="15" t="s">
        <v>49</v>
      </c>
      <c r="S10" s="15" t="s">
        <v>37</v>
      </c>
      <c r="T10" s="15" t="s">
        <v>22</v>
      </c>
    </row>
    <row r="11" spans="1:21" s="12" customFormat="1" ht="30" customHeight="1" thickTop="1" thickBot="1" x14ac:dyDescent="0.4">
      <c r="A11" s="7">
        <v>1010</v>
      </c>
      <c r="B11" s="8">
        <v>45667</v>
      </c>
      <c r="C11" s="14" t="s">
        <v>28</v>
      </c>
      <c r="D11" s="14" t="s">
        <v>29</v>
      </c>
      <c r="E11" s="14" t="s">
        <v>25</v>
      </c>
      <c r="F11" s="14" t="s">
        <v>20</v>
      </c>
      <c r="G11" s="7">
        <v>10</v>
      </c>
      <c r="H11" s="7">
        <v>500</v>
      </c>
      <c r="I11" s="9">
        <v>0</v>
      </c>
      <c r="J11" s="10">
        <f>SALCE[[#This Row],[After_Discount]]*SALCE[[#This Row],[Tax_%]]/100</f>
        <v>7.0000000000000009</v>
      </c>
      <c r="K11" s="11">
        <v>0.14000000000000001</v>
      </c>
      <c r="L11" s="10">
        <f>SALCE[[#This Row],[Quantity]]*SALCE[[#This Row],[Unit_Price]]</f>
        <v>5000</v>
      </c>
      <c r="M11" s="10">
        <f>SALCE[[#This Row],[Gross_Sales]]*SALCE[[#This Row],[Discount_%]]/100</f>
        <v>0</v>
      </c>
      <c r="N11" s="10">
        <f>SALCE[[#This Row],[After_Discount]]+SALCE[[#This Row],[Tax_Value]]</f>
        <v>5007</v>
      </c>
      <c r="O11" s="10">
        <f>SALCE[[#This Row],[Gross_Sales]]*70%</f>
        <v>3500</v>
      </c>
      <c r="P11" s="10">
        <f>SALCE[[#This Row],[Net_Sales]]-SALCE[[#This Row],[Cost_Price]]</f>
        <v>1507</v>
      </c>
      <c r="Q11" s="10">
        <f>SALCE[[#This Row],[Gross_Sales]]-SALCE[[#This Row],[Discount_Value]]</f>
        <v>5000</v>
      </c>
      <c r="R11" s="15" t="s">
        <v>57</v>
      </c>
      <c r="S11" s="15" t="s">
        <v>21</v>
      </c>
      <c r="T11" s="15" t="s">
        <v>22</v>
      </c>
    </row>
    <row r="12" spans="1:21" s="12" customFormat="1" ht="30" customHeight="1" thickTop="1" thickBot="1" x14ac:dyDescent="0.4">
      <c r="A12" s="7">
        <v>1011</v>
      </c>
      <c r="B12" s="8">
        <v>45668</v>
      </c>
      <c r="C12" s="14" t="s">
        <v>28</v>
      </c>
      <c r="D12" s="14" t="s">
        <v>38</v>
      </c>
      <c r="E12" s="14" t="s">
        <v>34</v>
      </c>
      <c r="F12" s="14" t="s">
        <v>32</v>
      </c>
      <c r="G12" s="7">
        <v>6</v>
      </c>
      <c r="H12" s="7">
        <v>4000</v>
      </c>
      <c r="I12" s="9">
        <v>5</v>
      </c>
      <c r="J12" s="10">
        <f>SALCE[[#This Row],[After_Discount]]*SALCE[[#This Row],[Tax_%]]/100</f>
        <v>31.920000000000005</v>
      </c>
      <c r="K12" s="11">
        <v>0.14000000000000001</v>
      </c>
      <c r="L12" s="10">
        <f>SALCE[[#This Row],[Quantity]]*SALCE[[#This Row],[Unit_Price]]</f>
        <v>24000</v>
      </c>
      <c r="M12" s="10">
        <f>SALCE[[#This Row],[Gross_Sales]]*SALCE[[#This Row],[Discount_%]]/100</f>
        <v>1200</v>
      </c>
      <c r="N12" s="10">
        <f>SALCE[[#This Row],[After_Discount]]+SALCE[[#This Row],[Tax_Value]]</f>
        <v>22831.919999999998</v>
      </c>
      <c r="O12" s="10">
        <f>SALCE[[#This Row],[Gross_Sales]]*70%</f>
        <v>16800</v>
      </c>
      <c r="P12" s="10">
        <f>SALCE[[#This Row],[Net_Sales]]-SALCE[[#This Row],[Cost_Price]]</f>
        <v>6031.9199999999983</v>
      </c>
      <c r="Q12" s="10">
        <f>SALCE[[#This Row],[Gross_Sales]]-SALCE[[#This Row],[Discount_Value]]</f>
        <v>22800</v>
      </c>
      <c r="R12" s="15" t="s">
        <v>50</v>
      </c>
      <c r="S12" s="15" t="s">
        <v>37</v>
      </c>
      <c r="T12" s="15" t="s">
        <v>22</v>
      </c>
    </row>
    <row r="13" spans="1:21" s="12" customFormat="1" ht="30" customHeight="1" thickTop="1" thickBot="1" x14ac:dyDescent="0.4">
      <c r="A13" s="7">
        <v>1012</v>
      </c>
      <c r="B13" s="8">
        <v>45669</v>
      </c>
      <c r="C13" s="14" t="s">
        <v>35</v>
      </c>
      <c r="D13" s="14" t="s">
        <v>18</v>
      </c>
      <c r="E13" s="14" t="s">
        <v>19</v>
      </c>
      <c r="F13" s="14" t="s">
        <v>20</v>
      </c>
      <c r="G13" s="7">
        <v>5</v>
      </c>
      <c r="H13" s="7">
        <v>300</v>
      </c>
      <c r="I13" s="9">
        <v>0</v>
      </c>
      <c r="J13" s="10">
        <f>SALCE[[#This Row],[After_Discount]]*SALCE[[#This Row],[Tax_%]]/100</f>
        <v>2.1</v>
      </c>
      <c r="K13" s="11">
        <v>0.14000000000000001</v>
      </c>
      <c r="L13" s="10">
        <f>SALCE[[#This Row],[Quantity]]*SALCE[[#This Row],[Unit_Price]]</f>
        <v>1500</v>
      </c>
      <c r="M13" s="10">
        <f>SALCE[[#This Row],[Gross_Sales]]*SALCE[[#This Row],[Discount_%]]/100</f>
        <v>0</v>
      </c>
      <c r="N13" s="10">
        <f>SALCE[[#This Row],[After_Discount]]+SALCE[[#This Row],[Tax_Value]]</f>
        <v>1502.1</v>
      </c>
      <c r="O13" s="10">
        <f>SALCE[[#This Row],[Gross_Sales]]*70%</f>
        <v>1050</v>
      </c>
      <c r="P13" s="10">
        <f>SALCE[[#This Row],[Net_Sales]]-SALCE[[#This Row],[Cost_Price]]</f>
        <v>452.09999999999991</v>
      </c>
      <c r="Q13" s="10">
        <f>SALCE[[#This Row],[Gross_Sales]]-SALCE[[#This Row],[Discount_Value]]</f>
        <v>1500</v>
      </c>
      <c r="R13" s="15" t="s">
        <v>49</v>
      </c>
      <c r="S13" s="15" t="s">
        <v>37</v>
      </c>
      <c r="T13" s="15" t="s">
        <v>27</v>
      </c>
    </row>
    <row r="14" spans="1:21" s="12" customFormat="1" ht="30" customHeight="1" thickTop="1" thickBot="1" x14ac:dyDescent="0.4">
      <c r="A14" s="7">
        <v>1013</v>
      </c>
      <c r="B14" s="8">
        <v>45670</v>
      </c>
      <c r="C14" s="14" t="s">
        <v>23</v>
      </c>
      <c r="D14" s="14" t="s">
        <v>36</v>
      </c>
      <c r="E14" s="14" t="s">
        <v>19</v>
      </c>
      <c r="F14" s="14" t="s">
        <v>20</v>
      </c>
      <c r="G14" s="7">
        <v>6</v>
      </c>
      <c r="H14" s="7">
        <v>300</v>
      </c>
      <c r="I14" s="9">
        <v>5</v>
      </c>
      <c r="J14" s="10">
        <f>SALCE[[#This Row],[After_Discount]]*SALCE[[#This Row],[Tax_%]]/100</f>
        <v>2.3940000000000001</v>
      </c>
      <c r="K14" s="11">
        <v>0.14000000000000001</v>
      </c>
      <c r="L14" s="10">
        <f>SALCE[[#This Row],[Quantity]]*SALCE[[#This Row],[Unit_Price]]</f>
        <v>1800</v>
      </c>
      <c r="M14" s="10">
        <f>SALCE[[#This Row],[Gross_Sales]]*SALCE[[#This Row],[Discount_%]]/100</f>
        <v>90</v>
      </c>
      <c r="N14" s="10">
        <f>SALCE[[#This Row],[After_Discount]]+SALCE[[#This Row],[Tax_Value]]</f>
        <v>1712.394</v>
      </c>
      <c r="O14" s="10">
        <f>SALCE[[#This Row],[Gross_Sales]]*70%</f>
        <v>1260</v>
      </c>
      <c r="P14" s="10">
        <f>SALCE[[#This Row],[Net_Sales]]-SALCE[[#This Row],[Cost_Price]]</f>
        <v>452.39400000000001</v>
      </c>
      <c r="Q14" s="10">
        <f>SALCE[[#This Row],[Gross_Sales]]-SALCE[[#This Row],[Discount_Value]]</f>
        <v>1710</v>
      </c>
      <c r="R14" s="15" t="s">
        <v>56</v>
      </c>
      <c r="S14" s="15" t="s">
        <v>37</v>
      </c>
      <c r="T14" s="15" t="s">
        <v>27</v>
      </c>
    </row>
    <row r="15" spans="1:21" s="12" customFormat="1" ht="30" customHeight="1" thickTop="1" thickBot="1" x14ac:dyDescent="0.4">
      <c r="A15" s="7">
        <v>1014</v>
      </c>
      <c r="B15" s="8">
        <v>45671</v>
      </c>
      <c r="C15" s="14" t="s">
        <v>23</v>
      </c>
      <c r="D15" s="14" t="s">
        <v>29</v>
      </c>
      <c r="E15" s="14" t="s">
        <v>25</v>
      </c>
      <c r="F15" s="14" t="s">
        <v>20</v>
      </c>
      <c r="G15" s="7">
        <v>2</v>
      </c>
      <c r="H15" s="7">
        <v>500</v>
      </c>
      <c r="I15" s="9">
        <v>15</v>
      </c>
      <c r="J15" s="10">
        <f>SALCE[[#This Row],[After_Discount]]*SALCE[[#This Row],[Tax_%]]/100</f>
        <v>1.1900000000000002</v>
      </c>
      <c r="K15" s="11">
        <v>0.14000000000000001</v>
      </c>
      <c r="L15" s="10">
        <f>SALCE[[#This Row],[Quantity]]*SALCE[[#This Row],[Unit_Price]]</f>
        <v>1000</v>
      </c>
      <c r="M15" s="10">
        <f>SALCE[[#This Row],[Gross_Sales]]*SALCE[[#This Row],[Discount_%]]/100</f>
        <v>150</v>
      </c>
      <c r="N15" s="10">
        <f>SALCE[[#This Row],[After_Discount]]+SALCE[[#This Row],[Tax_Value]]</f>
        <v>851.19</v>
      </c>
      <c r="O15" s="10">
        <f>SALCE[[#This Row],[Gross_Sales]]*70%</f>
        <v>700</v>
      </c>
      <c r="P15" s="10">
        <f>SALCE[[#This Row],[Net_Sales]]-SALCE[[#This Row],[Cost_Price]]</f>
        <v>151.19000000000005</v>
      </c>
      <c r="Q15" s="10">
        <f>SALCE[[#This Row],[Gross_Sales]]-SALCE[[#This Row],[Discount_Value]]</f>
        <v>850</v>
      </c>
      <c r="R15" s="15" t="s">
        <v>49</v>
      </c>
      <c r="S15" s="15" t="s">
        <v>37</v>
      </c>
      <c r="T15" s="15" t="s">
        <v>27</v>
      </c>
    </row>
    <row r="16" spans="1:21" s="12" customFormat="1" ht="30" customHeight="1" thickTop="1" thickBot="1" x14ac:dyDescent="0.4">
      <c r="A16" s="7">
        <v>1015</v>
      </c>
      <c r="B16" s="8">
        <v>45672</v>
      </c>
      <c r="C16" s="14" t="s">
        <v>17</v>
      </c>
      <c r="D16" s="14" t="s">
        <v>29</v>
      </c>
      <c r="E16" s="14" t="s">
        <v>33</v>
      </c>
      <c r="F16" s="14" t="s">
        <v>32</v>
      </c>
      <c r="G16" s="7">
        <v>2</v>
      </c>
      <c r="H16" s="7">
        <v>6000</v>
      </c>
      <c r="I16" s="9">
        <v>10</v>
      </c>
      <c r="J16" s="10">
        <f>SALCE[[#This Row],[After_Discount]]*SALCE[[#This Row],[Tax_%]]/100</f>
        <v>15.120000000000003</v>
      </c>
      <c r="K16" s="11">
        <v>0.14000000000000001</v>
      </c>
      <c r="L16" s="10">
        <f>SALCE[[#This Row],[Quantity]]*SALCE[[#This Row],[Unit_Price]]</f>
        <v>12000</v>
      </c>
      <c r="M16" s="10">
        <f>SALCE[[#This Row],[Gross_Sales]]*SALCE[[#This Row],[Discount_%]]/100</f>
        <v>1200</v>
      </c>
      <c r="N16" s="10">
        <f>SALCE[[#This Row],[After_Discount]]+SALCE[[#This Row],[Tax_Value]]</f>
        <v>10815.12</v>
      </c>
      <c r="O16" s="10">
        <f>SALCE[[#This Row],[Gross_Sales]]*70%</f>
        <v>8400</v>
      </c>
      <c r="P16" s="10">
        <f>SALCE[[#This Row],[Net_Sales]]-SALCE[[#This Row],[Cost_Price]]</f>
        <v>2415.1200000000008</v>
      </c>
      <c r="Q16" s="10">
        <f>SALCE[[#This Row],[Gross_Sales]]-SALCE[[#This Row],[Discount_Value]]</f>
        <v>10800</v>
      </c>
      <c r="R16" s="15" t="s">
        <v>53</v>
      </c>
      <c r="S16" s="15" t="s">
        <v>21</v>
      </c>
      <c r="T16" s="15" t="s">
        <v>27</v>
      </c>
    </row>
    <row r="17" spans="1:20" s="12" customFormat="1" ht="30" customHeight="1" thickTop="1" thickBot="1" x14ac:dyDescent="0.4">
      <c r="A17" s="7">
        <v>1016</v>
      </c>
      <c r="B17" s="8">
        <v>45673</v>
      </c>
      <c r="C17" s="14" t="s">
        <v>23</v>
      </c>
      <c r="D17" s="14" t="s">
        <v>36</v>
      </c>
      <c r="E17" s="14" t="s">
        <v>34</v>
      </c>
      <c r="F17" s="14" t="s">
        <v>32</v>
      </c>
      <c r="G17" s="7">
        <v>3</v>
      </c>
      <c r="H17" s="7">
        <v>4000</v>
      </c>
      <c r="I17" s="9">
        <v>0</v>
      </c>
      <c r="J17" s="10">
        <f>SALCE[[#This Row],[After_Discount]]*SALCE[[#This Row],[Tax_%]]/100</f>
        <v>16.8</v>
      </c>
      <c r="K17" s="11">
        <v>0.14000000000000001</v>
      </c>
      <c r="L17" s="10">
        <f>SALCE[[#This Row],[Quantity]]*SALCE[[#This Row],[Unit_Price]]</f>
        <v>12000</v>
      </c>
      <c r="M17" s="10">
        <f>SALCE[[#This Row],[Gross_Sales]]*SALCE[[#This Row],[Discount_%]]/100</f>
        <v>0</v>
      </c>
      <c r="N17" s="10">
        <f>SALCE[[#This Row],[After_Discount]]+SALCE[[#This Row],[Tax_Value]]</f>
        <v>12016.8</v>
      </c>
      <c r="O17" s="10">
        <f>SALCE[[#This Row],[Gross_Sales]]*70%</f>
        <v>8400</v>
      </c>
      <c r="P17" s="10">
        <f>SALCE[[#This Row],[Net_Sales]]-SALCE[[#This Row],[Cost_Price]]</f>
        <v>3616.7999999999993</v>
      </c>
      <c r="Q17" s="10">
        <f>SALCE[[#This Row],[Gross_Sales]]-SALCE[[#This Row],[Discount_Value]]</f>
        <v>12000</v>
      </c>
      <c r="R17" s="15" t="s">
        <v>56</v>
      </c>
      <c r="S17" s="15" t="s">
        <v>37</v>
      </c>
      <c r="T17" s="15" t="s">
        <v>22</v>
      </c>
    </row>
    <row r="18" spans="1:20" s="12" customFormat="1" ht="30" customHeight="1" thickTop="1" thickBot="1" x14ac:dyDescent="0.4">
      <c r="A18" s="7">
        <v>1017</v>
      </c>
      <c r="B18" s="8">
        <v>45674</v>
      </c>
      <c r="C18" s="14" t="s">
        <v>39</v>
      </c>
      <c r="D18" s="14" t="s">
        <v>18</v>
      </c>
      <c r="E18" s="14" t="s">
        <v>33</v>
      </c>
      <c r="F18" s="14" t="s">
        <v>32</v>
      </c>
      <c r="G18" s="7">
        <v>1</v>
      </c>
      <c r="H18" s="7">
        <v>6000</v>
      </c>
      <c r="I18" s="9">
        <v>10</v>
      </c>
      <c r="J18" s="10">
        <f>SALCE[[#This Row],[After_Discount]]*SALCE[[#This Row],[Tax_%]]/100</f>
        <v>7.5600000000000014</v>
      </c>
      <c r="K18" s="11">
        <v>0.14000000000000001</v>
      </c>
      <c r="L18" s="10">
        <f>SALCE[[#This Row],[Quantity]]*SALCE[[#This Row],[Unit_Price]]</f>
        <v>6000</v>
      </c>
      <c r="M18" s="10">
        <f>SALCE[[#This Row],[Gross_Sales]]*SALCE[[#This Row],[Discount_%]]/100</f>
        <v>600</v>
      </c>
      <c r="N18" s="10">
        <f>SALCE[[#This Row],[After_Discount]]+SALCE[[#This Row],[Tax_Value]]</f>
        <v>5407.56</v>
      </c>
      <c r="O18" s="10">
        <f>SALCE[[#This Row],[Gross_Sales]]*70%</f>
        <v>4200</v>
      </c>
      <c r="P18" s="10">
        <f>SALCE[[#This Row],[Net_Sales]]-SALCE[[#This Row],[Cost_Price]]</f>
        <v>1207.5600000000004</v>
      </c>
      <c r="Q18" s="10">
        <f>SALCE[[#This Row],[Gross_Sales]]-SALCE[[#This Row],[Discount_Value]]</f>
        <v>5400</v>
      </c>
      <c r="R18" s="15" t="s">
        <v>58</v>
      </c>
      <c r="S18" s="15" t="s">
        <v>26</v>
      </c>
      <c r="T18" s="15" t="s">
        <v>27</v>
      </c>
    </row>
    <row r="19" spans="1:20" s="12" customFormat="1" ht="30" customHeight="1" thickTop="1" thickBot="1" x14ac:dyDescent="0.4">
      <c r="A19" s="7">
        <v>1018</v>
      </c>
      <c r="B19" s="8">
        <v>45675</v>
      </c>
      <c r="C19" s="14" t="s">
        <v>28</v>
      </c>
      <c r="D19" s="14" t="s">
        <v>36</v>
      </c>
      <c r="E19" s="14" t="s">
        <v>25</v>
      </c>
      <c r="F19" s="14" t="s">
        <v>20</v>
      </c>
      <c r="G19" s="7">
        <v>2</v>
      </c>
      <c r="H19" s="7">
        <v>500</v>
      </c>
      <c r="I19" s="9">
        <v>5</v>
      </c>
      <c r="J19" s="10">
        <f>SALCE[[#This Row],[After_Discount]]*SALCE[[#This Row],[Tax_%]]/100</f>
        <v>1.33</v>
      </c>
      <c r="K19" s="11">
        <v>0.14000000000000001</v>
      </c>
      <c r="L19" s="10">
        <f>SALCE[[#This Row],[Quantity]]*SALCE[[#This Row],[Unit_Price]]</f>
        <v>1000</v>
      </c>
      <c r="M19" s="10">
        <f>SALCE[[#This Row],[Gross_Sales]]*SALCE[[#This Row],[Discount_%]]/100</f>
        <v>50</v>
      </c>
      <c r="N19" s="10">
        <f>SALCE[[#This Row],[After_Discount]]+SALCE[[#This Row],[Tax_Value]]</f>
        <v>951.33</v>
      </c>
      <c r="O19" s="10">
        <f>SALCE[[#This Row],[Gross_Sales]]*70%</f>
        <v>700</v>
      </c>
      <c r="P19" s="10">
        <f>SALCE[[#This Row],[Net_Sales]]-SALCE[[#This Row],[Cost_Price]]</f>
        <v>251.33000000000004</v>
      </c>
      <c r="Q19" s="10">
        <f>SALCE[[#This Row],[Gross_Sales]]-SALCE[[#This Row],[Discount_Value]]</f>
        <v>950</v>
      </c>
      <c r="R19" s="15" t="s">
        <v>47</v>
      </c>
      <c r="S19" s="15" t="s">
        <v>26</v>
      </c>
      <c r="T19" s="15" t="s">
        <v>22</v>
      </c>
    </row>
    <row r="20" spans="1:20" s="12" customFormat="1" ht="30" customHeight="1" thickTop="1" thickBot="1" x14ac:dyDescent="0.4">
      <c r="A20" s="7">
        <v>1019</v>
      </c>
      <c r="B20" s="8">
        <v>45676</v>
      </c>
      <c r="C20" s="14" t="s">
        <v>35</v>
      </c>
      <c r="D20" s="14" t="s">
        <v>18</v>
      </c>
      <c r="E20" s="14" t="s">
        <v>40</v>
      </c>
      <c r="F20" s="14" t="s">
        <v>20</v>
      </c>
      <c r="G20" s="7">
        <v>6</v>
      </c>
      <c r="H20" s="7">
        <v>800</v>
      </c>
      <c r="I20" s="9">
        <v>15</v>
      </c>
      <c r="J20" s="10">
        <f>SALCE[[#This Row],[After_Discount]]*SALCE[[#This Row],[Tax_%]]/100</f>
        <v>5.7120000000000006</v>
      </c>
      <c r="K20" s="11">
        <v>0.14000000000000001</v>
      </c>
      <c r="L20" s="10">
        <f>SALCE[[#This Row],[Quantity]]*SALCE[[#This Row],[Unit_Price]]</f>
        <v>4800</v>
      </c>
      <c r="M20" s="10">
        <f>SALCE[[#This Row],[Gross_Sales]]*SALCE[[#This Row],[Discount_%]]/100</f>
        <v>720</v>
      </c>
      <c r="N20" s="10">
        <f>SALCE[[#This Row],[After_Discount]]+SALCE[[#This Row],[Tax_Value]]</f>
        <v>4085.712</v>
      </c>
      <c r="O20" s="10">
        <f>SALCE[[#This Row],[Gross_Sales]]*70%</f>
        <v>3360</v>
      </c>
      <c r="P20" s="10">
        <f>SALCE[[#This Row],[Net_Sales]]-SALCE[[#This Row],[Cost_Price]]</f>
        <v>725.71199999999999</v>
      </c>
      <c r="Q20" s="10">
        <f>SALCE[[#This Row],[Gross_Sales]]-SALCE[[#This Row],[Discount_Value]]</f>
        <v>4080</v>
      </c>
      <c r="R20" s="15" t="s">
        <v>62</v>
      </c>
      <c r="S20" s="15" t="s">
        <v>26</v>
      </c>
      <c r="T20" s="15" t="s">
        <v>22</v>
      </c>
    </row>
    <row r="21" spans="1:20" s="12" customFormat="1" ht="30" customHeight="1" thickTop="1" thickBot="1" x14ac:dyDescent="0.4">
      <c r="A21" s="7">
        <v>1020</v>
      </c>
      <c r="B21" s="8">
        <v>45677</v>
      </c>
      <c r="C21" s="14" t="s">
        <v>23</v>
      </c>
      <c r="D21" s="14" t="s">
        <v>41</v>
      </c>
      <c r="E21" s="14" t="s">
        <v>34</v>
      </c>
      <c r="F21" s="14" t="s">
        <v>32</v>
      </c>
      <c r="G21" s="7">
        <v>2</v>
      </c>
      <c r="H21" s="7">
        <v>4000</v>
      </c>
      <c r="I21" s="9">
        <v>15</v>
      </c>
      <c r="J21" s="10">
        <f>SALCE[[#This Row],[After_Discount]]*SALCE[[#This Row],[Tax_%]]/100</f>
        <v>9.5200000000000014</v>
      </c>
      <c r="K21" s="11">
        <v>0.14000000000000001</v>
      </c>
      <c r="L21" s="10">
        <f>SALCE[[#This Row],[Quantity]]*SALCE[[#This Row],[Unit_Price]]</f>
        <v>8000</v>
      </c>
      <c r="M21" s="10">
        <f>SALCE[[#This Row],[Gross_Sales]]*SALCE[[#This Row],[Discount_%]]/100</f>
        <v>1200</v>
      </c>
      <c r="N21" s="10">
        <f>SALCE[[#This Row],[After_Discount]]+SALCE[[#This Row],[Tax_Value]]</f>
        <v>6809.52</v>
      </c>
      <c r="O21" s="10">
        <f>SALCE[[#This Row],[Gross_Sales]]*70%</f>
        <v>5600</v>
      </c>
      <c r="P21" s="10">
        <f>SALCE[[#This Row],[Net_Sales]]-SALCE[[#This Row],[Cost_Price]]</f>
        <v>1209.5200000000004</v>
      </c>
      <c r="Q21" s="10">
        <f>SALCE[[#This Row],[Gross_Sales]]-SALCE[[#This Row],[Discount_Value]]</f>
        <v>6800</v>
      </c>
      <c r="R21" s="15" t="s">
        <v>62</v>
      </c>
      <c r="S21" s="15" t="s">
        <v>26</v>
      </c>
      <c r="T21" s="15" t="s">
        <v>27</v>
      </c>
    </row>
    <row r="22" spans="1:20" s="12" customFormat="1" ht="30" customHeight="1" thickTop="1" thickBot="1" x14ac:dyDescent="0.4">
      <c r="A22" s="7">
        <v>1021</v>
      </c>
      <c r="B22" s="8">
        <v>45678</v>
      </c>
      <c r="C22" s="14" t="s">
        <v>39</v>
      </c>
      <c r="D22" s="14" t="s">
        <v>24</v>
      </c>
      <c r="E22" s="14" t="s">
        <v>31</v>
      </c>
      <c r="F22" s="14" t="s">
        <v>32</v>
      </c>
      <c r="G22" s="7">
        <v>9</v>
      </c>
      <c r="H22" s="7">
        <v>15000</v>
      </c>
      <c r="I22" s="9">
        <v>10</v>
      </c>
      <c r="J22" s="10">
        <f>SALCE[[#This Row],[After_Discount]]*SALCE[[#This Row],[Tax_%]]/100</f>
        <v>170.1</v>
      </c>
      <c r="K22" s="11">
        <v>0.14000000000000001</v>
      </c>
      <c r="L22" s="10">
        <f>SALCE[[#This Row],[Quantity]]*SALCE[[#This Row],[Unit_Price]]</f>
        <v>135000</v>
      </c>
      <c r="M22" s="10">
        <f>SALCE[[#This Row],[Gross_Sales]]*SALCE[[#This Row],[Discount_%]]/100</f>
        <v>13500</v>
      </c>
      <c r="N22" s="10">
        <f>SALCE[[#This Row],[After_Discount]]+SALCE[[#This Row],[Tax_Value]]</f>
        <v>121670.1</v>
      </c>
      <c r="O22" s="10">
        <f>SALCE[[#This Row],[Gross_Sales]]*70%</f>
        <v>94500</v>
      </c>
      <c r="P22" s="10">
        <f>SALCE[[#This Row],[Net_Sales]]-SALCE[[#This Row],[Cost_Price]]</f>
        <v>27170.100000000006</v>
      </c>
      <c r="Q22" s="10">
        <f>SALCE[[#This Row],[Gross_Sales]]-SALCE[[#This Row],[Discount_Value]]</f>
        <v>121500</v>
      </c>
      <c r="R22" s="15" t="s">
        <v>53</v>
      </c>
      <c r="S22" s="15" t="s">
        <v>37</v>
      </c>
      <c r="T22" s="15" t="s">
        <v>27</v>
      </c>
    </row>
    <row r="23" spans="1:20" s="12" customFormat="1" ht="30" customHeight="1" thickTop="1" thickBot="1" x14ac:dyDescent="0.4">
      <c r="A23" s="7">
        <v>1022</v>
      </c>
      <c r="B23" s="8">
        <v>45679</v>
      </c>
      <c r="C23" s="14" t="s">
        <v>17</v>
      </c>
      <c r="D23" s="14" t="s">
        <v>41</v>
      </c>
      <c r="E23" s="14" t="s">
        <v>33</v>
      </c>
      <c r="F23" s="14" t="s">
        <v>32</v>
      </c>
      <c r="G23" s="7">
        <v>4</v>
      </c>
      <c r="H23" s="7">
        <v>6000</v>
      </c>
      <c r="I23" s="9">
        <v>15</v>
      </c>
      <c r="J23" s="10">
        <f>SALCE[[#This Row],[After_Discount]]*SALCE[[#This Row],[Tax_%]]/100</f>
        <v>28.560000000000006</v>
      </c>
      <c r="K23" s="11">
        <v>0.14000000000000001</v>
      </c>
      <c r="L23" s="10">
        <f>SALCE[[#This Row],[Quantity]]*SALCE[[#This Row],[Unit_Price]]</f>
        <v>24000</v>
      </c>
      <c r="M23" s="10">
        <f>SALCE[[#This Row],[Gross_Sales]]*SALCE[[#This Row],[Discount_%]]/100</f>
        <v>3600</v>
      </c>
      <c r="N23" s="10">
        <f>SALCE[[#This Row],[After_Discount]]+SALCE[[#This Row],[Tax_Value]]</f>
        <v>20428.560000000001</v>
      </c>
      <c r="O23" s="10">
        <f>SALCE[[#This Row],[Gross_Sales]]*70%</f>
        <v>16800</v>
      </c>
      <c r="P23" s="10">
        <f>SALCE[[#This Row],[Net_Sales]]-SALCE[[#This Row],[Cost_Price]]</f>
        <v>3628.5600000000013</v>
      </c>
      <c r="Q23" s="10">
        <f>SALCE[[#This Row],[Gross_Sales]]-SALCE[[#This Row],[Discount_Value]]</f>
        <v>20400</v>
      </c>
      <c r="R23" s="15" t="s">
        <v>56</v>
      </c>
      <c r="S23" s="15" t="s">
        <v>37</v>
      </c>
      <c r="T23" s="15" t="s">
        <v>27</v>
      </c>
    </row>
    <row r="24" spans="1:20" s="12" customFormat="1" ht="30" customHeight="1" thickTop="1" thickBot="1" x14ac:dyDescent="0.4">
      <c r="A24" s="7">
        <v>1023</v>
      </c>
      <c r="B24" s="8">
        <v>45680</v>
      </c>
      <c r="C24" s="14" t="s">
        <v>23</v>
      </c>
      <c r="D24" s="14" t="s">
        <v>18</v>
      </c>
      <c r="E24" s="14" t="s">
        <v>34</v>
      </c>
      <c r="F24" s="14" t="s">
        <v>32</v>
      </c>
      <c r="G24" s="7">
        <v>9</v>
      </c>
      <c r="H24" s="7">
        <v>4000</v>
      </c>
      <c r="I24" s="9">
        <v>15</v>
      </c>
      <c r="J24" s="10">
        <f>SALCE[[#This Row],[After_Discount]]*SALCE[[#This Row],[Tax_%]]/100</f>
        <v>42.84</v>
      </c>
      <c r="K24" s="11">
        <v>0.14000000000000001</v>
      </c>
      <c r="L24" s="10">
        <f>SALCE[[#This Row],[Quantity]]*SALCE[[#This Row],[Unit_Price]]</f>
        <v>36000</v>
      </c>
      <c r="M24" s="10">
        <f>SALCE[[#This Row],[Gross_Sales]]*SALCE[[#This Row],[Discount_%]]/100</f>
        <v>5400</v>
      </c>
      <c r="N24" s="10">
        <f>SALCE[[#This Row],[After_Discount]]+SALCE[[#This Row],[Tax_Value]]</f>
        <v>30642.84</v>
      </c>
      <c r="O24" s="10">
        <f>SALCE[[#This Row],[Gross_Sales]]*70%</f>
        <v>25200</v>
      </c>
      <c r="P24" s="10">
        <f>SALCE[[#This Row],[Net_Sales]]-SALCE[[#This Row],[Cost_Price]]</f>
        <v>5442.84</v>
      </c>
      <c r="Q24" s="10">
        <f>SALCE[[#This Row],[Gross_Sales]]-SALCE[[#This Row],[Discount_Value]]</f>
        <v>30600</v>
      </c>
      <c r="R24" s="15" t="s">
        <v>51</v>
      </c>
      <c r="S24" s="15" t="s">
        <v>26</v>
      </c>
      <c r="T24" s="15" t="s">
        <v>22</v>
      </c>
    </row>
    <row r="25" spans="1:20" s="12" customFormat="1" ht="30" customHeight="1" thickTop="1" thickBot="1" x14ac:dyDescent="0.4">
      <c r="A25" s="7">
        <v>1024</v>
      </c>
      <c r="B25" s="8">
        <v>45681</v>
      </c>
      <c r="C25" s="14" t="s">
        <v>39</v>
      </c>
      <c r="D25" s="14" t="s">
        <v>41</v>
      </c>
      <c r="E25" s="14" t="s">
        <v>25</v>
      </c>
      <c r="F25" s="14" t="s">
        <v>20</v>
      </c>
      <c r="G25" s="7">
        <v>9</v>
      </c>
      <c r="H25" s="7">
        <v>500</v>
      </c>
      <c r="I25" s="9">
        <v>5</v>
      </c>
      <c r="J25" s="10">
        <f>SALCE[[#This Row],[After_Discount]]*SALCE[[#This Row],[Tax_%]]/100</f>
        <v>5.9850000000000012</v>
      </c>
      <c r="K25" s="11">
        <v>0.14000000000000001</v>
      </c>
      <c r="L25" s="10">
        <f>SALCE[[#This Row],[Quantity]]*SALCE[[#This Row],[Unit_Price]]</f>
        <v>4500</v>
      </c>
      <c r="M25" s="10">
        <f>SALCE[[#This Row],[Gross_Sales]]*SALCE[[#This Row],[Discount_%]]/100</f>
        <v>225</v>
      </c>
      <c r="N25" s="10">
        <f>SALCE[[#This Row],[After_Discount]]+SALCE[[#This Row],[Tax_Value]]</f>
        <v>4280.9849999999997</v>
      </c>
      <c r="O25" s="10">
        <f>SALCE[[#This Row],[Gross_Sales]]*70%</f>
        <v>3150</v>
      </c>
      <c r="P25" s="10">
        <f>SALCE[[#This Row],[Net_Sales]]-SALCE[[#This Row],[Cost_Price]]</f>
        <v>1130.9849999999997</v>
      </c>
      <c r="Q25" s="10">
        <f>SALCE[[#This Row],[Gross_Sales]]-SALCE[[#This Row],[Discount_Value]]</f>
        <v>4275</v>
      </c>
      <c r="R25" s="15" t="s">
        <v>58</v>
      </c>
      <c r="S25" s="15" t="s">
        <v>21</v>
      </c>
      <c r="T25" s="15" t="s">
        <v>27</v>
      </c>
    </row>
    <row r="26" spans="1:20" s="12" customFormat="1" ht="30" customHeight="1" thickTop="1" thickBot="1" x14ac:dyDescent="0.4">
      <c r="A26" s="7">
        <v>1025</v>
      </c>
      <c r="B26" s="8">
        <v>45682</v>
      </c>
      <c r="C26" s="14" t="s">
        <v>39</v>
      </c>
      <c r="D26" s="14" t="s">
        <v>29</v>
      </c>
      <c r="E26" s="14" t="s">
        <v>19</v>
      </c>
      <c r="F26" s="14" t="s">
        <v>20</v>
      </c>
      <c r="G26" s="7">
        <v>9</v>
      </c>
      <c r="H26" s="7">
        <v>300</v>
      </c>
      <c r="I26" s="9">
        <v>0</v>
      </c>
      <c r="J26" s="10">
        <f>SALCE[[#This Row],[After_Discount]]*SALCE[[#This Row],[Tax_%]]/100</f>
        <v>3.7800000000000007</v>
      </c>
      <c r="K26" s="11">
        <v>0.14000000000000001</v>
      </c>
      <c r="L26" s="10">
        <f>SALCE[[#This Row],[Quantity]]*SALCE[[#This Row],[Unit_Price]]</f>
        <v>2700</v>
      </c>
      <c r="M26" s="10">
        <f>SALCE[[#This Row],[Gross_Sales]]*SALCE[[#This Row],[Discount_%]]/100</f>
        <v>0</v>
      </c>
      <c r="N26" s="10">
        <f>SALCE[[#This Row],[After_Discount]]+SALCE[[#This Row],[Tax_Value]]</f>
        <v>2703.78</v>
      </c>
      <c r="O26" s="10">
        <f>SALCE[[#This Row],[Gross_Sales]]*70%</f>
        <v>1889.9999999999998</v>
      </c>
      <c r="P26" s="10">
        <f>SALCE[[#This Row],[Net_Sales]]-SALCE[[#This Row],[Cost_Price]]</f>
        <v>813.78000000000043</v>
      </c>
      <c r="Q26" s="10">
        <f>SALCE[[#This Row],[Gross_Sales]]-SALCE[[#This Row],[Discount_Value]]</f>
        <v>2700</v>
      </c>
      <c r="R26" s="15" t="s">
        <v>53</v>
      </c>
      <c r="S26" s="15" t="s">
        <v>26</v>
      </c>
      <c r="T26" s="15" t="s">
        <v>22</v>
      </c>
    </row>
    <row r="27" spans="1:20" s="12" customFormat="1" ht="30" customHeight="1" thickTop="1" thickBot="1" x14ac:dyDescent="0.4">
      <c r="A27" s="7">
        <v>1026</v>
      </c>
      <c r="B27" s="8">
        <v>45683</v>
      </c>
      <c r="C27" s="14" t="s">
        <v>39</v>
      </c>
      <c r="D27" s="14" t="s">
        <v>24</v>
      </c>
      <c r="E27" s="14" t="s">
        <v>19</v>
      </c>
      <c r="F27" s="14" t="s">
        <v>20</v>
      </c>
      <c r="G27" s="7">
        <v>1</v>
      </c>
      <c r="H27" s="7">
        <v>300</v>
      </c>
      <c r="I27" s="9">
        <v>0</v>
      </c>
      <c r="J27" s="10">
        <f>SALCE[[#This Row],[After_Discount]]*SALCE[[#This Row],[Tax_%]]/100</f>
        <v>0.4200000000000001</v>
      </c>
      <c r="K27" s="11">
        <v>0.14000000000000001</v>
      </c>
      <c r="L27" s="10">
        <f>SALCE[[#This Row],[Quantity]]*SALCE[[#This Row],[Unit_Price]]</f>
        <v>300</v>
      </c>
      <c r="M27" s="10">
        <f>SALCE[[#This Row],[Gross_Sales]]*SALCE[[#This Row],[Discount_%]]/100</f>
        <v>0</v>
      </c>
      <c r="N27" s="10">
        <f>SALCE[[#This Row],[After_Discount]]+SALCE[[#This Row],[Tax_Value]]</f>
        <v>300.42</v>
      </c>
      <c r="O27" s="10">
        <f>SALCE[[#This Row],[Gross_Sales]]*70%</f>
        <v>210</v>
      </c>
      <c r="P27" s="10">
        <f>SALCE[[#This Row],[Net_Sales]]-SALCE[[#This Row],[Cost_Price]]</f>
        <v>90.420000000000016</v>
      </c>
      <c r="Q27" s="10">
        <f>SALCE[[#This Row],[Gross_Sales]]-SALCE[[#This Row],[Discount_Value]]</f>
        <v>300</v>
      </c>
      <c r="R27" s="15" t="s">
        <v>58</v>
      </c>
      <c r="S27" s="15" t="s">
        <v>37</v>
      </c>
      <c r="T27" s="15" t="s">
        <v>22</v>
      </c>
    </row>
    <row r="28" spans="1:20" s="12" customFormat="1" ht="30" customHeight="1" thickTop="1" thickBot="1" x14ac:dyDescent="0.4">
      <c r="A28" s="7">
        <v>1027</v>
      </c>
      <c r="B28" s="8">
        <v>45684</v>
      </c>
      <c r="C28" s="14" t="s">
        <v>28</v>
      </c>
      <c r="D28" s="14" t="s">
        <v>24</v>
      </c>
      <c r="E28" s="14" t="s">
        <v>25</v>
      </c>
      <c r="F28" s="14" t="s">
        <v>20</v>
      </c>
      <c r="G28" s="7">
        <v>5</v>
      </c>
      <c r="H28" s="7">
        <v>500</v>
      </c>
      <c r="I28" s="9">
        <v>5</v>
      </c>
      <c r="J28" s="10">
        <f>SALCE[[#This Row],[After_Discount]]*SALCE[[#This Row],[Tax_%]]/100</f>
        <v>3.3250000000000006</v>
      </c>
      <c r="K28" s="11">
        <v>0.14000000000000001</v>
      </c>
      <c r="L28" s="10">
        <f>SALCE[[#This Row],[Quantity]]*SALCE[[#This Row],[Unit_Price]]</f>
        <v>2500</v>
      </c>
      <c r="M28" s="10">
        <f>SALCE[[#This Row],[Gross_Sales]]*SALCE[[#This Row],[Discount_%]]/100</f>
        <v>125</v>
      </c>
      <c r="N28" s="10">
        <f>SALCE[[#This Row],[After_Discount]]+SALCE[[#This Row],[Tax_Value]]</f>
        <v>2378.3249999999998</v>
      </c>
      <c r="O28" s="10">
        <f>SALCE[[#This Row],[Gross_Sales]]*70%</f>
        <v>1750</v>
      </c>
      <c r="P28" s="10">
        <f>SALCE[[#This Row],[Net_Sales]]-SALCE[[#This Row],[Cost_Price]]</f>
        <v>628.32499999999982</v>
      </c>
      <c r="Q28" s="10">
        <f>SALCE[[#This Row],[Gross_Sales]]-SALCE[[#This Row],[Discount_Value]]</f>
        <v>2375</v>
      </c>
      <c r="R28" s="15" t="s">
        <v>51</v>
      </c>
      <c r="S28" s="15" t="s">
        <v>37</v>
      </c>
      <c r="T28" s="15" t="s">
        <v>27</v>
      </c>
    </row>
    <row r="29" spans="1:20" s="12" customFormat="1" ht="30" customHeight="1" thickTop="1" thickBot="1" x14ac:dyDescent="0.4">
      <c r="A29" s="7">
        <v>1028</v>
      </c>
      <c r="B29" s="8">
        <v>45685</v>
      </c>
      <c r="C29" s="14" t="s">
        <v>35</v>
      </c>
      <c r="D29" s="14" t="s">
        <v>29</v>
      </c>
      <c r="E29" s="14" t="s">
        <v>19</v>
      </c>
      <c r="F29" s="14" t="s">
        <v>20</v>
      </c>
      <c r="G29" s="7">
        <v>10</v>
      </c>
      <c r="H29" s="7">
        <v>300</v>
      </c>
      <c r="I29" s="9">
        <v>5</v>
      </c>
      <c r="J29" s="10">
        <f>SALCE[[#This Row],[After_Discount]]*SALCE[[#This Row],[Tax_%]]/100</f>
        <v>3.9900000000000007</v>
      </c>
      <c r="K29" s="11">
        <v>0.14000000000000001</v>
      </c>
      <c r="L29" s="10">
        <f>SALCE[[#This Row],[Quantity]]*SALCE[[#This Row],[Unit_Price]]</f>
        <v>3000</v>
      </c>
      <c r="M29" s="10">
        <f>SALCE[[#This Row],[Gross_Sales]]*SALCE[[#This Row],[Discount_%]]/100</f>
        <v>150</v>
      </c>
      <c r="N29" s="10">
        <f>SALCE[[#This Row],[After_Discount]]+SALCE[[#This Row],[Tax_Value]]</f>
        <v>2853.99</v>
      </c>
      <c r="O29" s="10">
        <f>SALCE[[#This Row],[Gross_Sales]]*70%</f>
        <v>2100</v>
      </c>
      <c r="P29" s="10">
        <f>SALCE[[#This Row],[Net_Sales]]-SALCE[[#This Row],[Cost_Price]]</f>
        <v>753.98999999999978</v>
      </c>
      <c r="Q29" s="10">
        <f>SALCE[[#This Row],[Gross_Sales]]-SALCE[[#This Row],[Discount_Value]]</f>
        <v>2850</v>
      </c>
      <c r="R29" s="15" t="s">
        <v>52</v>
      </c>
      <c r="S29" s="15" t="s">
        <v>26</v>
      </c>
      <c r="T29" s="15" t="s">
        <v>22</v>
      </c>
    </row>
    <row r="30" spans="1:20" s="12" customFormat="1" ht="30" customHeight="1" thickTop="1" thickBot="1" x14ac:dyDescent="0.4">
      <c r="A30" s="7">
        <v>1029</v>
      </c>
      <c r="B30" s="8">
        <v>45686</v>
      </c>
      <c r="C30" s="14" t="s">
        <v>35</v>
      </c>
      <c r="D30" s="14" t="s">
        <v>18</v>
      </c>
      <c r="E30" s="14" t="s">
        <v>31</v>
      </c>
      <c r="F30" s="14" t="s">
        <v>32</v>
      </c>
      <c r="G30" s="7">
        <v>3</v>
      </c>
      <c r="H30" s="7">
        <v>15000</v>
      </c>
      <c r="I30" s="9">
        <v>15</v>
      </c>
      <c r="J30" s="10">
        <f>SALCE[[#This Row],[After_Discount]]*SALCE[[#This Row],[Tax_%]]/100</f>
        <v>53.550000000000011</v>
      </c>
      <c r="K30" s="11">
        <v>0.14000000000000001</v>
      </c>
      <c r="L30" s="10">
        <f>SALCE[[#This Row],[Quantity]]*SALCE[[#This Row],[Unit_Price]]</f>
        <v>45000</v>
      </c>
      <c r="M30" s="10">
        <f>SALCE[[#This Row],[Gross_Sales]]*SALCE[[#This Row],[Discount_%]]/100</f>
        <v>6750</v>
      </c>
      <c r="N30" s="10">
        <f>SALCE[[#This Row],[After_Discount]]+SALCE[[#This Row],[Tax_Value]]</f>
        <v>38303.550000000003</v>
      </c>
      <c r="O30" s="10">
        <f>SALCE[[#This Row],[Gross_Sales]]*70%</f>
        <v>31499.999999999996</v>
      </c>
      <c r="P30" s="10">
        <f>SALCE[[#This Row],[Net_Sales]]-SALCE[[#This Row],[Cost_Price]]</f>
        <v>6803.5500000000065</v>
      </c>
      <c r="Q30" s="10">
        <f>SALCE[[#This Row],[Gross_Sales]]-SALCE[[#This Row],[Discount_Value]]</f>
        <v>38250</v>
      </c>
      <c r="R30" s="15" t="s">
        <v>62</v>
      </c>
      <c r="S30" s="15" t="s">
        <v>26</v>
      </c>
      <c r="T30" s="15" t="s">
        <v>27</v>
      </c>
    </row>
    <row r="31" spans="1:20" s="12" customFormat="1" ht="30" customHeight="1" thickTop="1" thickBot="1" x14ac:dyDescent="0.4">
      <c r="A31" s="7">
        <v>1030</v>
      </c>
      <c r="B31" s="8">
        <v>45687</v>
      </c>
      <c r="C31" s="14" t="s">
        <v>39</v>
      </c>
      <c r="D31" s="14" t="s">
        <v>36</v>
      </c>
      <c r="E31" s="14" t="s">
        <v>34</v>
      </c>
      <c r="F31" s="14" t="s">
        <v>32</v>
      </c>
      <c r="G31" s="7">
        <v>9</v>
      </c>
      <c r="H31" s="7">
        <v>4000</v>
      </c>
      <c r="I31" s="9">
        <v>0</v>
      </c>
      <c r="J31" s="10">
        <f>SALCE[[#This Row],[After_Discount]]*SALCE[[#This Row],[Tax_%]]/100</f>
        <v>50.400000000000006</v>
      </c>
      <c r="K31" s="11">
        <v>0.14000000000000001</v>
      </c>
      <c r="L31" s="10">
        <f>SALCE[[#This Row],[Quantity]]*SALCE[[#This Row],[Unit_Price]]</f>
        <v>36000</v>
      </c>
      <c r="M31" s="10">
        <f>SALCE[[#This Row],[Gross_Sales]]*SALCE[[#This Row],[Discount_%]]/100</f>
        <v>0</v>
      </c>
      <c r="N31" s="10">
        <f>SALCE[[#This Row],[After_Discount]]+SALCE[[#This Row],[Tax_Value]]</f>
        <v>36050.400000000001</v>
      </c>
      <c r="O31" s="10">
        <f>SALCE[[#This Row],[Gross_Sales]]*70%</f>
        <v>25200</v>
      </c>
      <c r="P31" s="10">
        <f>SALCE[[#This Row],[Net_Sales]]-SALCE[[#This Row],[Cost_Price]]</f>
        <v>10850.400000000001</v>
      </c>
      <c r="Q31" s="10">
        <f>SALCE[[#This Row],[Gross_Sales]]-SALCE[[#This Row],[Discount_Value]]</f>
        <v>36000</v>
      </c>
      <c r="R31" s="15" t="s">
        <v>61</v>
      </c>
      <c r="S31" s="15" t="s">
        <v>26</v>
      </c>
      <c r="T31" s="15" t="s">
        <v>22</v>
      </c>
    </row>
    <row r="32" spans="1:20" s="12" customFormat="1" ht="30" customHeight="1" thickTop="1" thickBot="1" x14ac:dyDescent="0.4">
      <c r="A32" s="7">
        <v>1031</v>
      </c>
      <c r="B32" s="8">
        <v>45688</v>
      </c>
      <c r="C32" s="14" t="s">
        <v>28</v>
      </c>
      <c r="D32" s="14" t="s">
        <v>29</v>
      </c>
      <c r="E32" s="14" t="s">
        <v>34</v>
      </c>
      <c r="F32" s="14" t="s">
        <v>32</v>
      </c>
      <c r="G32" s="7">
        <v>4</v>
      </c>
      <c r="H32" s="7">
        <v>4000</v>
      </c>
      <c r="I32" s="9">
        <v>15</v>
      </c>
      <c r="J32" s="10">
        <f>SALCE[[#This Row],[After_Discount]]*SALCE[[#This Row],[Tax_%]]/100</f>
        <v>19.040000000000003</v>
      </c>
      <c r="K32" s="11">
        <v>0.14000000000000001</v>
      </c>
      <c r="L32" s="10">
        <f>SALCE[[#This Row],[Quantity]]*SALCE[[#This Row],[Unit_Price]]</f>
        <v>16000</v>
      </c>
      <c r="M32" s="10">
        <f>SALCE[[#This Row],[Gross_Sales]]*SALCE[[#This Row],[Discount_%]]/100</f>
        <v>2400</v>
      </c>
      <c r="N32" s="10">
        <f>SALCE[[#This Row],[After_Discount]]+SALCE[[#This Row],[Tax_Value]]</f>
        <v>13619.04</v>
      </c>
      <c r="O32" s="10">
        <f>SALCE[[#This Row],[Gross_Sales]]*70%</f>
        <v>11200</v>
      </c>
      <c r="P32" s="10">
        <f>SALCE[[#This Row],[Net_Sales]]-SALCE[[#This Row],[Cost_Price]]</f>
        <v>2419.0400000000009</v>
      </c>
      <c r="Q32" s="10">
        <f>SALCE[[#This Row],[Gross_Sales]]-SALCE[[#This Row],[Discount_Value]]</f>
        <v>13600</v>
      </c>
      <c r="R32" s="15" t="s">
        <v>49</v>
      </c>
      <c r="S32" s="15" t="s">
        <v>26</v>
      </c>
      <c r="T32" s="15" t="s">
        <v>27</v>
      </c>
    </row>
    <row r="33" spans="1:20" s="12" customFormat="1" ht="30" customHeight="1" thickTop="1" thickBot="1" x14ac:dyDescent="0.4">
      <c r="A33" s="7">
        <v>1032</v>
      </c>
      <c r="B33" s="8">
        <v>45689</v>
      </c>
      <c r="C33" s="14" t="s">
        <v>30</v>
      </c>
      <c r="D33" s="14" t="s">
        <v>24</v>
      </c>
      <c r="E33" s="14" t="s">
        <v>40</v>
      </c>
      <c r="F33" s="14" t="s">
        <v>20</v>
      </c>
      <c r="G33" s="7">
        <v>7</v>
      </c>
      <c r="H33" s="7">
        <v>800</v>
      </c>
      <c r="I33" s="9">
        <v>0</v>
      </c>
      <c r="J33" s="10">
        <f>SALCE[[#This Row],[After_Discount]]*SALCE[[#This Row],[Tax_%]]/100</f>
        <v>7.8400000000000007</v>
      </c>
      <c r="K33" s="11">
        <v>0.14000000000000001</v>
      </c>
      <c r="L33" s="10">
        <f>SALCE[[#This Row],[Quantity]]*SALCE[[#This Row],[Unit_Price]]</f>
        <v>5600</v>
      </c>
      <c r="M33" s="10">
        <f>SALCE[[#This Row],[Gross_Sales]]*SALCE[[#This Row],[Discount_%]]/100</f>
        <v>0</v>
      </c>
      <c r="N33" s="10">
        <f>SALCE[[#This Row],[After_Discount]]+SALCE[[#This Row],[Tax_Value]]</f>
        <v>5607.84</v>
      </c>
      <c r="O33" s="10">
        <f>SALCE[[#This Row],[Gross_Sales]]*70%</f>
        <v>3919.9999999999995</v>
      </c>
      <c r="P33" s="10">
        <f>SALCE[[#This Row],[Net_Sales]]-SALCE[[#This Row],[Cost_Price]]</f>
        <v>1687.8400000000006</v>
      </c>
      <c r="Q33" s="10">
        <f>SALCE[[#This Row],[Gross_Sales]]-SALCE[[#This Row],[Discount_Value]]</f>
        <v>5600</v>
      </c>
      <c r="R33" s="15" t="s">
        <v>50</v>
      </c>
      <c r="S33" s="15" t="s">
        <v>21</v>
      </c>
      <c r="T33" s="15" t="s">
        <v>27</v>
      </c>
    </row>
    <row r="34" spans="1:20" s="12" customFormat="1" ht="30" customHeight="1" thickTop="1" thickBot="1" x14ac:dyDescent="0.4">
      <c r="A34" s="7">
        <v>1033</v>
      </c>
      <c r="B34" s="8">
        <v>45690</v>
      </c>
      <c r="C34" s="14" t="s">
        <v>30</v>
      </c>
      <c r="D34" s="14" t="s">
        <v>41</v>
      </c>
      <c r="E34" s="14" t="s">
        <v>19</v>
      </c>
      <c r="F34" s="14" t="s">
        <v>20</v>
      </c>
      <c r="G34" s="7">
        <v>9</v>
      </c>
      <c r="H34" s="7">
        <v>300</v>
      </c>
      <c r="I34" s="9">
        <v>10</v>
      </c>
      <c r="J34" s="10">
        <f>SALCE[[#This Row],[After_Discount]]*SALCE[[#This Row],[Tax_%]]/100</f>
        <v>3.4020000000000006</v>
      </c>
      <c r="K34" s="11">
        <v>0.14000000000000001</v>
      </c>
      <c r="L34" s="10">
        <f>SALCE[[#This Row],[Quantity]]*SALCE[[#This Row],[Unit_Price]]</f>
        <v>2700</v>
      </c>
      <c r="M34" s="10">
        <f>SALCE[[#This Row],[Gross_Sales]]*SALCE[[#This Row],[Discount_%]]/100</f>
        <v>270</v>
      </c>
      <c r="N34" s="10">
        <f>SALCE[[#This Row],[After_Discount]]+SALCE[[#This Row],[Tax_Value]]</f>
        <v>2433.402</v>
      </c>
      <c r="O34" s="10">
        <f>SALCE[[#This Row],[Gross_Sales]]*70%</f>
        <v>1889.9999999999998</v>
      </c>
      <c r="P34" s="10">
        <f>SALCE[[#This Row],[Net_Sales]]-SALCE[[#This Row],[Cost_Price]]</f>
        <v>543.40200000000027</v>
      </c>
      <c r="Q34" s="10">
        <f>SALCE[[#This Row],[Gross_Sales]]-SALCE[[#This Row],[Discount_Value]]</f>
        <v>2430</v>
      </c>
      <c r="R34" s="15" t="s">
        <v>56</v>
      </c>
      <c r="S34" s="15" t="s">
        <v>37</v>
      </c>
      <c r="T34" s="15" t="s">
        <v>27</v>
      </c>
    </row>
    <row r="35" spans="1:20" s="12" customFormat="1" ht="30" customHeight="1" thickTop="1" thickBot="1" x14ac:dyDescent="0.4">
      <c r="A35" s="7">
        <v>1034</v>
      </c>
      <c r="B35" s="8">
        <v>45691</v>
      </c>
      <c r="C35" s="14" t="s">
        <v>17</v>
      </c>
      <c r="D35" s="14" t="s">
        <v>36</v>
      </c>
      <c r="E35" s="14" t="s">
        <v>33</v>
      </c>
      <c r="F35" s="14" t="s">
        <v>32</v>
      </c>
      <c r="G35" s="7">
        <v>8</v>
      </c>
      <c r="H35" s="7">
        <v>6000</v>
      </c>
      <c r="I35" s="9">
        <v>0</v>
      </c>
      <c r="J35" s="10">
        <f>SALCE[[#This Row],[After_Discount]]*SALCE[[#This Row],[Tax_%]]/100</f>
        <v>67.2</v>
      </c>
      <c r="K35" s="11">
        <v>0.14000000000000001</v>
      </c>
      <c r="L35" s="10">
        <f>SALCE[[#This Row],[Quantity]]*SALCE[[#This Row],[Unit_Price]]</f>
        <v>48000</v>
      </c>
      <c r="M35" s="10">
        <f>SALCE[[#This Row],[Gross_Sales]]*SALCE[[#This Row],[Discount_%]]/100</f>
        <v>0</v>
      </c>
      <c r="N35" s="10">
        <f>SALCE[[#This Row],[After_Discount]]+SALCE[[#This Row],[Tax_Value]]</f>
        <v>48067.199999999997</v>
      </c>
      <c r="O35" s="10">
        <f>SALCE[[#This Row],[Gross_Sales]]*70%</f>
        <v>33600</v>
      </c>
      <c r="P35" s="10">
        <f>SALCE[[#This Row],[Net_Sales]]-SALCE[[#This Row],[Cost_Price]]</f>
        <v>14467.199999999997</v>
      </c>
      <c r="Q35" s="10">
        <f>SALCE[[#This Row],[Gross_Sales]]-SALCE[[#This Row],[Discount_Value]]</f>
        <v>48000</v>
      </c>
      <c r="R35" s="15" t="s">
        <v>62</v>
      </c>
      <c r="S35" s="15" t="s">
        <v>26</v>
      </c>
      <c r="T35" s="15" t="s">
        <v>22</v>
      </c>
    </row>
    <row r="36" spans="1:20" s="12" customFormat="1" ht="30" customHeight="1" thickTop="1" thickBot="1" x14ac:dyDescent="0.4">
      <c r="A36" s="7">
        <v>1035</v>
      </c>
      <c r="B36" s="8">
        <v>45692</v>
      </c>
      <c r="C36" s="14" t="s">
        <v>39</v>
      </c>
      <c r="D36" s="14" t="s">
        <v>18</v>
      </c>
      <c r="E36" s="14" t="s">
        <v>33</v>
      </c>
      <c r="F36" s="14" t="s">
        <v>32</v>
      </c>
      <c r="G36" s="7">
        <v>1</v>
      </c>
      <c r="H36" s="7">
        <v>6000</v>
      </c>
      <c r="I36" s="9">
        <v>5</v>
      </c>
      <c r="J36" s="10">
        <f>SALCE[[#This Row],[After_Discount]]*SALCE[[#This Row],[Tax_%]]/100</f>
        <v>7.9800000000000013</v>
      </c>
      <c r="K36" s="11">
        <v>0.14000000000000001</v>
      </c>
      <c r="L36" s="10">
        <f>SALCE[[#This Row],[Quantity]]*SALCE[[#This Row],[Unit_Price]]</f>
        <v>6000</v>
      </c>
      <c r="M36" s="10">
        <f>SALCE[[#This Row],[Gross_Sales]]*SALCE[[#This Row],[Discount_%]]/100</f>
        <v>300</v>
      </c>
      <c r="N36" s="10">
        <f>SALCE[[#This Row],[After_Discount]]+SALCE[[#This Row],[Tax_Value]]</f>
        <v>5707.98</v>
      </c>
      <c r="O36" s="10">
        <f>SALCE[[#This Row],[Gross_Sales]]*70%</f>
        <v>4200</v>
      </c>
      <c r="P36" s="10">
        <f>SALCE[[#This Row],[Net_Sales]]-SALCE[[#This Row],[Cost_Price]]</f>
        <v>1507.9799999999996</v>
      </c>
      <c r="Q36" s="10">
        <f>SALCE[[#This Row],[Gross_Sales]]-SALCE[[#This Row],[Discount_Value]]</f>
        <v>5700</v>
      </c>
      <c r="R36" s="15" t="s">
        <v>57</v>
      </c>
      <c r="S36" s="15" t="s">
        <v>21</v>
      </c>
      <c r="T36" s="15" t="s">
        <v>27</v>
      </c>
    </row>
    <row r="37" spans="1:20" s="12" customFormat="1" ht="30" customHeight="1" thickTop="1" thickBot="1" x14ac:dyDescent="0.4">
      <c r="A37" s="7">
        <v>1036</v>
      </c>
      <c r="B37" s="8">
        <v>45693</v>
      </c>
      <c r="C37" s="14" t="s">
        <v>23</v>
      </c>
      <c r="D37" s="14" t="s">
        <v>18</v>
      </c>
      <c r="E37" s="14" t="s">
        <v>40</v>
      </c>
      <c r="F37" s="14" t="s">
        <v>20</v>
      </c>
      <c r="G37" s="7">
        <v>1</v>
      </c>
      <c r="H37" s="7">
        <v>800</v>
      </c>
      <c r="I37" s="9">
        <v>15</v>
      </c>
      <c r="J37" s="10">
        <f>SALCE[[#This Row],[After_Discount]]*SALCE[[#This Row],[Tax_%]]/100</f>
        <v>0.95200000000000007</v>
      </c>
      <c r="K37" s="11">
        <v>0.14000000000000001</v>
      </c>
      <c r="L37" s="10">
        <f>SALCE[[#This Row],[Quantity]]*SALCE[[#This Row],[Unit_Price]]</f>
        <v>800</v>
      </c>
      <c r="M37" s="10">
        <f>SALCE[[#This Row],[Gross_Sales]]*SALCE[[#This Row],[Discount_%]]/100</f>
        <v>120</v>
      </c>
      <c r="N37" s="10">
        <f>SALCE[[#This Row],[After_Discount]]+SALCE[[#This Row],[Tax_Value]]</f>
        <v>680.952</v>
      </c>
      <c r="O37" s="10">
        <f>SALCE[[#This Row],[Gross_Sales]]*70%</f>
        <v>560</v>
      </c>
      <c r="P37" s="10">
        <f>SALCE[[#This Row],[Net_Sales]]-SALCE[[#This Row],[Cost_Price]]</f>
        <v>120.952</v>
      </c>
      <c r="Q37" s="10">
        <f>SALCE[[#This Row],[Gross_Sales]]-SALCE[[#This Row],[Discount_Value]]</f>
        <v>680</v>
      </c>
      <c r="R37" s="15" t="s">
        <v>52</v>
      </c>
      <c r="S37" s="15" t="s">
        <v>26</v>
      </c>
      <c r="T37" s="15" t="s">
        <v>27</v>
      </c>
    </row>
    <row r="38" spans="1:20" s="12" customFormat="1" ht="30" customHeight="1" thickTop="1" thickBot="1" x14ac:dyDescent="0.4">
      <c r="A38" s="7">
        <v>1037</v>
      </c>
      <c r="B38" s="8">
        <v>45694</v>
      </c>
      <c r="C38" s="14" t="s">
        <v>17</v>
      </c>
      <c r="D38" s="14" t="s">
        <v>38</v>
      </c>
      <c r="E38" s="14" t="s">
        <v>31</v>
      </c>
      <c r="F38" s="14" t="s">
        <v>32</v>
      </c>
      <c r="G38" s="7">
        <v>5</v>
      </c>
      <c r="H38" s="7">
        <v>15000</v>
      </c>
      <c r="I38" s="9">
        <v>5</v>
      </c>
      <c r="J38" s="10">
        <f>SALCE[[#This Row],[After_Discount]]*SALCE[[#This Row],[Tax_%]]/100</f>
        <v>99.750000000000014</v>
      </c>
      <c r="K38" s="11">
        <v>0.14000000000000001</v>
      </c>
      <c r="L38" s="10">
        <f>SALCE[[#This Row],[Quantity]]*SALCE[[#This Row],[Unit_Price]]</f>
        <v>75000</v>
      </c>
      <c r="M38" s="10">
        <f>SALCE[[#This Row],[Gross_Sales]]*SALCE[[#This Row],[Discount_%]]/100</f>
        <v>3750</v>
      </c>
      <c r="N38" s="10">
        <f>SALCE[[#This Row],[After_Discount]]+SALCE[[#This Row],[Tax_Value]]</f>
        <v>71349.75</v>
      </c>
      <c r="O38" s="10">
        <f>SALCE[[#This Row],[Gross_Sales]]*70%</f>
        <v>52500</v>
      </c>
      <c r="P38" s="10">
        <f>SALCE[[#This Row],[Net_Sales]]-SALCE[[#This Row],[Cost_Price]]</f>
        <v>18849.75</v>
      </c>
      <c r="Q38" s="10">
        <f>SALCE[[#This Row],[Gross_Sales]]-SALCE[[#This Row],[Discount_Value]]</f>
        <v>71250</v>
      </c>
      <c r="R38" s="15" t="s">
        <v>57</v>
      </c>
      <c r="S38" s="15" t="s">
        <v>26</v>
      </c>
      <c r="T38" s="15" t="s">
        <v>27</v>
      </c>
    </row>
    <row r="39" spans="1:20" s="12" customFormat="1" ht="30" customHeight="1" thickTop="1" thickBot="1" x14ac:dyDescent="0.4">
      <c r="A39" s="7">
        <v>1038</v>
      </c>
      <c r="B39" s="8">
        <v>45695</v>
      </c>
      <c r="C39" s="14" t="s">
        <v>35</v>
      </c>
      <c r="D39" s="14" t="s">
        <v>18</v>
      </c>
      <c r="E39" s="14" t="s">
        <v>19</v>
      </c>
      <c r="F39" s="14" t="s">
        <v>20</v>
      </c>
      <c r="G39" s="7">
        <v>1</v>
      </c>
      <c r="H39" s="7">
        <v>300</v>
      </c>
      <c r="I39" s="9">
        <v>15</v>
      </c>
      <c r="J39" s="10">
        <f>SALCE[[#This Row],[After_Discount]]*SALCE[[#This Row],[Tax_%]]/100</f>
        <v>0.35700000000000004</v>
      </c>
      <c r="K39" s="11">
        <v>0.14000000000000001</v>
      </c>
      <c r="L39" s="10">
        <f>SALCE[[#This Row],[Quantity]]*SALCE[[#This Row],[Unit_Price]]</f>
        <v>300</v>
      </c>
      <c r="M39" s="10">
        <f>SALCE[[#This Row],[Gross_Sales]]*SALCE[[#This Row],[Discount_%]]/100</f>
        <v>45</v>
      </c>
      <c r="N39" s="10">
        <f>SALCE[[#This Row],[After_Discount]]+SALCE[[#This Row],[Tax_Value]]</f>
        <v>255.357</v>
      </c>
      <c r="O39" s="10">
        <f>SALCE[[#This Row],[Gross_Sales]]*70%</f>
        <v>210</v>
      </c>
      <c r="P39" s="10">
        <f>SALCE[[#This Row],[Net_Sales]]-SALCE[[#This Row],[Cost_Price]]</f>
        <v>45.356999999999999</v>
      </c>
      <c r="Q39" s="10">
        <f>SALCE[[#This Row],[Gross_Sales]]-SALCE[[#This Row],[Discount_Value]]</f>
        <v>255</v>
      </c>
      <c r="R39" s="15" t="s">
        <v>54</v>
      </c>
      <c r="S39" s="15" t="s">
        <v>37</v>
      </c>
      <c r="T39" s="15" t="s">
        <v>22</v>
      </c>
    </row>
    <row r="40" spans="1:20" s="12" customFormat="1" ht="30" customHeight="1" thickTop="1" thickBot="1" x14ac:dyDescent="0.4">
      <c r="A40" s="7">
        <v>1039</v>
      </c>
      <c r="B40" s="8">
        <v>45696</v>
      </c>
      <c r="C40" s="14" t="s">
        <v>35</v>
      </c>
      <c r="D40" s="14" t="s">
        <v>38</v>
      </c>
      <c r="E40" s="14" t="s">
        <v>19</v>
      </c>
      <c r="F40" s="14" t="s">
        <v>20</v>
      </c>
      <c r="G40" s="7">
        <v>4</v>
      </c>
      <c r="H40" s="7">
        <v>300</v>
      </c>
      <c r="I40" s="9">
        <v>10</v>
      </c>
      <c r="J40" s="10">
        <f>SALCE[[#This Row],[After_Discount]]*SALCE[[#This Row],[Tax_%]]/100</f>
        <v>1.5120000000000002</v>
      </c>
      <c r="K40" s="11">
        <v>0.14000000000000001</v>
      </c>
      <c r="L40" s="10">
        <f>SALCE[[#This Row],[Quantity]]*SALCE[[#This Row],[Unit_Price]]</f>
        <v>1200</v>
      </c>
      <c r="M40" s="10">
        <f>SALCE[[#This Row],[Gross_Sales]]*SALCE[[#This Row],[Discount_%]]/100</f>
        <v>120</v>
      </c>
      <c r="N40" s="10">
        <f>SALCE[[#This Row],[After_Discount]]+SALCE[[#This Row],[Tax_Value]]</f>
        <v>1081.5119999999999</v>
      </c>
      <c r="O40" s="10">
        <f>SALCE[[#This Row],[Gross_Sales]]*70%</f>
        <v>840</v>
      </c>
      <c r="P40" s="10">
        <f>SALCE[[#This Row],[Net_Sales]]-SALCE[[#This Row],[Cost_Price]]</f>
        <v>241.51199999999994</v>
      </c>
      <c r="Q40" s="10">
        <f>SALCE[[#This Row],[Gross_Sales]]-SALCE[[#This Row],[Discount_Value]]</f>
        <v>1080</v>
      </c>
      <c r="R40" s="15" t="s">
        <v>57</v>
      </c>
      <c r="S40" s="15" t="s">
        <v>21</v>
      </c>
      <c r="T40" s="15" t="s">
        <v>27</v>
      </c>
    </row>
    <row r="41" spans="1:20" s="12" customFormat="1" ht="30" customHeight="1" thickTop="1" thickBot="1" x14ac:dyDescent="0.4">
      <c r="A41" s="7">
        <v>1040</v>
      </c>
      <c r="B41" s="8">
        <v>45697</v>
      </c>
      <c r="C41" s="14" t="s">
        <v>28</v>
      </c>
      <c r="D41" s="14" t="s">
        <v>41</v>
      </c>
      <c r="E41" s="14" t="s">
        <v>34</v>
      </c>
      <c r="F41" s="14" t="s">
        <v>32</v>
      </c>
      <c r="G41" s="7">
        <v>7</v>
      </c>
      <c r="H41" s="7">
        <v>4000</v>
      </c>
      <c r="I41" s="9">
        <v>5</v>
      </c>
      <c r="J41" s="10">
        <f>SALCE[[#This Row],[After_Discount]]*SALCE[[#This Row],[Tax_%]]/100</f>
        <v>37.24</v>
      </c>
      <c r="K41" s="11">
        <v>0.14000000000000001</v>
      </c>
      <c r="L41" s="10">
        <f>SALCE[[#This Row],[Quantity]]*SALCE[[#This Row],[Unit_Price]]</f>
        <v>28000</v>
      </c>
      <c r="M41" s="10">
        <f>SALCE[[#This Row],[Gross_Sales]]*SALCE[[#This Row],[Discount_%]]/100</f>
        <v>1400</v>
      </c>
      <c r="N41" s="10">
        <f>SALCE[[#This Row],[After_Discount]]+SALCE[[#This Row],[Tax_Value]]</f>
        <v>26637.24</v>
      </c>
      <c r="O41" s="10">
        <f>SALCE[[#This Row],[Gross_Sales]]*70%</f>
        <v>19600</v>
      </c>
      <c r="P41" s="10">
        <f>SALCE[[#This Row],[Net_Sales]]-SALCE[[#This Row],[Cost_Price]]</f>
        <v>7037.2400000000016</v>
      </c>
      <c r="Q41" s="10">
        <f>SALCE[[#This Row],[Gross_Sales]]-SALCE[[#This Row],[Discount_Value]]</f>
        <v>26600</v>
      </c>
      <c r="R41" s="15" t="s">
        <v>58</v>
      </c>
      <c r="S41" s="15" t="s">
        <v>37</v>
      </c>
      <c r="T41" s="15" t="s">
        <v>27</v>
      </c>
    </row>
    <row r="42" spans="1:20" s="12" customFormat="1" ht="30" customHeight="1" thickTop="1" thickBot="1" x14ac:dyDescent="0.4">
      <c r="A42" s="7">
        <v>1041</v>
      </c>
      <c r="B42" s="8">
        <v>45698</v>
      </c>
      <c r="C42" s="14" t="s">
        <v>28</v>
      </c>
      <c r="D42" s="14" t="s">
        <v>18</v>
      </c>
      <c r="E42" s="14" t="s">
        <v>19</v>
      </c>
      <c r="F42" s="14" t="s">
        <v>20</v>
      </c>
      <c r="G42" s="7">
        <v>4</v>
      </c>
      <c r="H42" s="7">
        <v>300</v>
      </c>
      <c r="I42" s="9">
        <v>15</v>
      </c>
      <c r="J42" s="10">
        <f>SALCE[[#This Row],[After_Discount]]*SALCE[[#This Row],[Tax_%]]/100</f>
        <v>1.4280000000000002</v>
      </c>
      <c r="K42" s="11">
        <v>0.14000000000000001</v>
      </c>
      <c r="L42" s="10">
        <f>SALCE[[#This Row],[Quantity]]*SALCE[[#This Row],[Unit_Price]]</f>
        <v>1200</v>
      </c>
      <c r="M42" s="10">
        <f>SALCE[[#This Row],[Gross_Sales]]*SALCE[[#This Row],[Discount_%]]/100</f>
        <v>180</v>
      </c>
      <c r="N42" s="10">
        <f>SALCE[[#This Row],[After_Discount]]+SALCE[[#This Row],[Tax_Value]]</f>
        <v>1021.428</v>
      </c>
      <c r="O42" s="10">
        <f>SALCE[[#This Row],[Gross_Sales]]*70%</f>
        <v>840</v>
      </c>
      <c r="P42" s="10">
        <f>SALCE[[#This Row],[Net_Sales]]-SALCE[[#This Row],[Cost_Price]]</f>
        <v>181.428</v>
      </c>
      <c r="Q42" s="10">
        <f>SALCE[[#This Row],[Gross_Sales]]-SALCE[[#This Row],[Discount_Value]]</f>
        <v>1020</v>
      </c>
      <c r="R42" s="15" t="s">
        <v>56</v>
      </c>
      <c r="S42" s="15" t="s">
        <v>26</v>
      </c>
      <c r="T42" s="15" t="s">
        <v>22</v>
      </c>
    </row>
    <row r="43" spans="1:20" s="12" customFormat="1" ht="30" customHeight="1" thickTop="1" thickBot="1" x14ac:dyDescent="0.4">
      <c r="A43" s="7">
        <v>1042</v>
      </c>
      <c r="B43" s="8">
        <v>45699</v>
      </c>
      <c r="C43" s="14" t="s">
        <v>39</v>
      </c>
      <c r="D43" s="14" t="s">
        <v>29</v>
      </c>
      <c r="E43" s="14" t="s">
        <v>19</v>
      </c>
      <c r="F43" s="14" t="s">
        <v>20</v>
      </c>
      <c r="G43" s="7">
        <v>7</v>
      </c>
      <c r="H43" s="7">
        <v>300</v>
      </c>
      <c r="I43" s="9">
        <v>0</v>
      </c>
      <c r="J43" s="10">
        <f>SALCE[[#This Row],[After_Discount]]*SALCE[[#This Row],[Tax_%]]/100</f>
        <v>2.94</v>
      </c>
      <c r="K43" s="11">
        <v>0.14000000000000001</v>
      </c>
      <c r="L43" s="10">
        <f>SALCE[[#This Row],[Quantity]]*SALCE[[#This Row],[Unit_Price]]</f>
        <v>2100</v>
      </c>
      <c r="M43" s="10">
        <f>SALCE[[#This Row],[Gross_Sales]]*SALCE[[#This Row],[Discount_%]]/100</f>
        <v>0</v>
      </c>
      <c r="N43" s="10">
        <f>SALCE[[#This Row],[After_Discount]]+SALCE[[#This Row],[Tax_Value]]</f>
        <v>2102.94</v>
      </c>
      <c r="O43" s="10">
        <f>SALCE[[#This Row],[Gross_Sales]]*70%</f>
        <v>1470</v>
      </c>
      <c r="P43" s="10">
        <f>SALCE[[#This Row],[Net_Sales]]-SALCE[[#This Row],[Cost_Price]]</f>
        <v>632.94000000000005</v>
      </c>
      <c r="Q43" s="10">
        <f>SALCE[[#This Row],[Gross_Sales]]-SALCE[[#This Row],[Discount_Value]]</f>
        <v>2100</v>
      </c>
      <c r="R43" s="15" t="s">
        <v>60</v>
      </c>
      <c r="S43" s="15" t="s">
        <v>26</v>
      </c>
      <c r="T43" s="15" t="s">
        <v>22</v>
      </c>
    </row>
    <row r="44" spans="1:20" s="12" customFormat="1" ht="30" customHeight="1" thickTop="1" thickBot="1" x14ac:dyDescent="0.4">
      <c r="A44" s="7">
        <v>1043</v>
      </c>
      <c r="B44" s="8">
        <v>45700</v>
      </c>
      <c r="C44" s="14" t="s">
        <v>17</v>
      </c>
      <c r="D44" s="14" t="s">
        <v>38</v>
      </c>
      <c r="E44" s="14" t="s">
        <v>25</v>
      </c>
      <c r="F44" s="14" t="s">
        <v>20</v>
      </c>
      <c r="G44" s="7">
        <v>4</v>
      </c>
      <c r="H44" s="7">
        <v>500</v>
      </c>
      <c r="I44" s="9">
        <v>15</v>
      </c>
      <c r="J44" s="10">
        <f>SALCE[[#This Row],[After_Discount]]*SALCE[[#This Row],[Tax_%]]/100</f>
        <v>2.3800000000000003</v>
      </c>
      <c r="K44" s="11">
        <v>0.14000000000000001</v>
      </c>
      <c r="L44" s="10">
        <f>SALCE[[#This Row],[Quantity]]*SALCE[[#This Row],[Unit_Price]]</f>
        <v>2000</v>
      </c>
      <c r="M44" s="10">
        <f>SALCE[[#This Row],[Gross_Sales]]*SALCE[[#This Row],[Discount_%]]/100</f>
        <v>300</v>
      </c>
      <c r="N44" s="10">
        <f>SALCE[[#This Row],[After_Discount]]+SALCE[[#This Row],[Tax_Value]]</f>
        <v>1702.38</v>
      </c>
      <c r="O44" s="10">
        <f>SALCE[[#This Row],[Gross_Sales]]*70%</f>
        <v>1400</v>
      </c>
      <c r="P44" s="10">
        <f>SALCE[[#This Row],[Net_Sales]]-SALCE[[#This Row],[Cost_Price]]</f>
        <v>302.38000000000011</v>
      </c>
      <c r="Q44" s="10">
        <f>SALCE[[#This Row],[Gross_Sales]]-SALCE[[#This Row],[Discount_Value]]</f>
        <v>1700</v>
      </c>
      <c r="R44" s="15" t="s">
        <v>51</v>
      </c>
      <c r="S44" s="15" t="s">
        <v>37</v>
      </c>
      <c r="T44" s="15" t="s">
        <v>27</v>
      </c>
    </row>
    <row r="45" spans="1:20" s="12" customFormat="1" ht="30" customHeight="1" thickTop="1" thickBot="1" x14ac:dyDescent="0.4">
      <c r="A45" s="7">
        <v>1044</v>
      </c>
      <c r="B45" s="8">
        <v>45701</v>
      </c>
      <c r="C45" s="14" t="s">
        <v>28</v>
      </c>
      <c r="D45" s="14" t="s">
        <v>38</v>
      </c>
      <c r="E45" s="14" t="s">
        <v>25</v>
      </c>
      <c r="F45" s="14" t="s">
        <v>20</v>
      </c>
      <c r="G45" s="7">
        <v>10</v>
      </c>
      <c r="H45" s="7">
        <v>500</v>
      </c>
      <c r="I45" s="9">
        <v>15</v>
      </c>
      <c r="J45" s="10">
        <f>SALCE[[#This Row],[After_Discount]]*SALCE[[#This Row],[Tax_%]]/100</f>
        <v>5.95</v>
      </c>
      <c r="K45" s="11">
        <v>0.14000000000000001</v>
      </c>
      <c r="L45" s="10">
        <f>SALCE[[#This Row],[Quantity]]*SALCE[[#This Row],[Unit_Price]]</f>
        <v>5000</v>
      </c>
      <c r="M45" s="10">
        <f>SALCE[[#This Row],[Gross_Sales]]*SALCE[[#This Row],[Discount_%]]/100</f>
        <v>750</v>
      </c>
      <c r="N45" s="10">
        <f>SALCE[[#This Row],[After_Discount]]+SALCE[[#This Row],[Tax_Value]]</f>
        <v>4255.95</v>
      </c>
      <c r="O45" s="10">
        <f>SALCE[[#This Row],[Gross_Sales]]*70%</f>
        <v>3500</v>
      </c>
      <c r="P45" s="10">
        <f>SALCE[[#This Row],[Net_Sales]]-SALCE[[#This Row],[Cost_Price]]</f>
        <v>755.94999999999982</v>
      </c>
      <c r="Q45" s="10">
        <f>SALCE[[#This Row],[Gross_Sales]]-SALCE[[#This Row],[Discount_Value]]</f>
        <v>4250</v>
      </c>
      <c r="R45" s="15" t="s">
        <v>53</v>
      </c>
      <c r="S45" s="15" t="s">
        <v>26</v>
      </c>
      <c r="T45" s="15" t="s">
        <v>22</v>
      </c>
    </row>
    <row r="46" spans="1:20" s="12" customFormat="1" ht="30" customHeight="1" thickTop="1" thickBot="1" x14ac:dyDescent="0.4">
      <c r="A46" s="7">
        <v>1045</v>
      </c>
      <c r="B46" s="8">
        <v>45702</v>
      </c>
      <c r="C46" s="14" t="s">
        <v>23</v>
      </c>
      <c r="D46" s="14" t="s">
        <v>29</v>
      </c>
      <c r="E46" s="14" t="s">
        <v>40</v>
      </c>
      <c r="F46" s="14" t="s">
        <v>20</v>
      </c>
      <c r="G46" s="7">
        <v>4</v>
      </c>
      <c r="H46" s="7">
        <v>800</v>
      </c>
      <c r="I46" s="9">
        <v>5</v>
      </c>
      <c r="J46" s="10">
        <f>SALCE[[#This Row],[After_Discount]]*SALCE[[#This Row],[Tax_%]]/100</f>
        <v>4.2560000000000002</v>
      </c>
      <c r="K46" s="11">
        <v>0.14000000000000001</v>
      </c>
      <c r="L46" s="10">
        <f>SALCE[[#This Row],[Quantity]]*SALCE[[#This Row],[Unit_Price]]</f>
        <v>3200</v>
      </c>
      <c r="M46" s="10">
        <f>SALCE[[#This Row],[Gross_Sales]]*SALCE[[#This Row],[Discount_%]]/100</f>
        <v>160</v>
      </c>
      <c r="N46" s="10">
        <f>SALCE[[#This Row],[After_Discount]]+SALCE[[#This Row],[Tax_Value]]</f>
        <v>3044.2559999999999</v>
      </c>
      <c r="O46" s="10">
        <f>SALCE[[#This Row],[Gross_Sales]]*70%</f>
        <v>2240</v>
      </c>
      <c r="P46" s="10">
        <f>SALCE[[#This Row],[Net_Sales]]-SALCE[[#This Row],[Cost_Price]]</f>
        <v>804.25599999999986</v>
      </c>
      <c r="Q46" s="10">
        <f>SALCE[[#This Row],[Gross_Sales]]-SALCE[[#This Row],[Discount_Value]]</f>
        <v>3040</v>
      </c>
      <c r="R46" s="15" t="s">
        <v>62</v>
      </c>
      <c r="S46" s="15" t="s">
        <v>21</v>
      </c>
      <c r="T46" s="15" t="s">
        <v>27</v>
      </c>
    </row>
    <row r="47" spans="1:20" s="12" customFormat="1" ht="30" customHeight="1" thickTop="1" thickBot="1" x14ac:dyDescent="0.4">
      <c r="A47" s="7">
        <v>1046</v>
      </c>
      <c r="B47" s="8">
        <v>45703</v>
      </c>
      <c r="C47" s="14" t="s">
        <v>28</v>
      </c>
      <c r="D47" s="14" t="s">
        <v>24</v>
      </c>
      <c r="E47" s="14" t="s">
        <v>34</v>
      </c>
      <c r="F47" s="14" t="s">
        <v>32</v>
      </c>
      <c r="G47" s="7">
        <v>6</v>
      </c>
      <c r="H47" s="7">
        <v>4000</v>
      </c>
      <c r="I47" s="9">
        <v>15</v>
      </c>
      <c r="J47" s="10">
        <f>SALCE[[#This Row],[After_Discount]]*SALCE[[#This Row],[Tax_%]]/100</f>
        <v>28.560000000000006</v>
      </c>
      <c r="K47" s="11">
        <v>0.14000000000000001</v>
      </c>
      <c r="L47" s="10">
        <f>SALCE[[#This Row],[Quantity]]*SALCE[[#This Row],[Unit_Price]]</f>
        <v>24000</v>
      </c>
      <c r="M47" s="10">
        <f>SALCE[[#This Row],[Gross_Sales]]*SALCE[[#This Row],[Discount_%]]/100</f>
        <v>3600</v>
      </c>
      <c r="N47" s="10">
        <f>SALCE[[#This Row],[After_Discount]]+SALCE[[#This Row],[Tax_Value]]</f>
        <v>20428.560000000001</v>
      </c>
      <c r="O47" s="10">
        <f>SALCE[[#This Row],[Gross_Sales]]*70%</f>
        <v>16800</v>
      </c>
      <c r="P47" s="10">
        <f>SALCE[[#This Row],[Net_Sales]]-SALCE[[#This Row],[Cost_Price]]</f>
        <v>3628.5600000000013</v>
      </c>
      <c r="Q47" s="10">
        <f>SALCE[[#This Row],[Gross_Sales]]-SALCE[[#This Row],[Discount_Value]]</f>
        <v>20400</v>
      </c>
      <c r="R47" s="15" t="s">
        <v>52</v>
      </c>
      <c r="S47" s="15" t="s">
        <v>26</v>
      </c>
      <c r="T47" s="15" t="s">
        <v>27</v>
      </c>
    </row>
    <row r="48" spans="1:20" s="12" customFormat="1" ht="30" customHeight="1" thickTop="1" thickBot="1" x14ac:dyDescent="0.4">
      <c r="A48" s="7">
        <v>1047</v>
      </c>
      <c r="B48" s="8">
        <v>45704</v>
      </c>
      <c r="C48" s="14" t="s">
        <v>35</v>
      </c>
      <c r="D48" s="14" t="s">
        <v>36</v>
      </c>
      <c r="E48" s="14" t="s">
        <v>40</v>
      </c>
      <c r="F48" s="14" t="s">
        <v>20</v>
      </c>
      <c r="G48" s="7">
        <v>2</v>
      </c>
      <c r="H48" s="7">
        <v>800</v>
      </c>
      <c r="I48" s="9">
        <v>15</v>
      </c>
      <c r="J48" s="10">
        <f>SALCE[[#This Row],[After_Discount]]*SALCE[[#This Row],[Tax_%]]/100</f>
        <v>1.9040000000000001</v>
      </c>
      <c r="K48" s="11">
        <v>0.14000000000000001</v>
      </c>
      <c r="L48" s="10">
        <f>SALCE[[#This Row],[Quantity]]*SALCE[[#This Row],[Unit_Price]]</f>
        <v>1600</v>
      </c>
      <c r="M48" s="10">
        <f>SALCE[[#This Row],[Gross_Sales]]*SALCE[[#This Row],[Discount_%]]/100</f>
        <v>240</v>
      </c>
      <c r="N48" s="10">
        <f>SALCE[[#This Row],[After_Discount]]+SALCE[[#This Row],[Tax_Value]]</f>
        <v>1361.904</v>
      </c>
      <c r="O48" s="10">
        <f>SALCE[[#This Row],[Gross_Sales]]*70%</f>
        <v>1120</v>
      </c>
      <c r="P48" s="10">
        <f>SALCE[[#This Row],[Net_Sales]]-SALCE[[#This Row],[Cost_Price]]</f>
        <v>241.904</v>
      </c>
      <c r="Q48" s="10">
        <f>SALCE[[#This Row],[Gross_Sales]]-SALCE[[#This Row],[Discount_Value]]</f>
        <v>1360</v>
      </c>
      <c r="R48" s="15" t="s">
        <v>53</v>
      </c>
      <c r="S48" s="15" t="s">
        <v>21</v>
      </c>
      <c r="T48" s="15" t="s">
        <v>27</v>
      </c>
    </row>
    <row r="49" spans="1:20" s="12" customFormat="1" ht="30" customHeight="1" thickTop="1" thickBot="1" x14ac:dyDescent="0.4">
      <c r="A49" s="7">
        <v>1048</v>
      </c>
      <c r="B49" s="8">
        <v>45705</v>
      </c>
      <c r="C49" s="14" t="s">
        <v>23</v>
      </c>
      <c r="D49" s="14" t="s">
        <v>38</v>
      </c>
      <c r="E49" s="14" t="s">
        <v>31</v>
      </c>
      <c r="F49" s="14" t="s">
        <v>32</v>
      </c>
      <c r="G49" s="7">
        <v>4</v>
      </c>
      <c r="H49" s="7">
        <v>15000</v>
      </c>
      <c r="I49" s="9">
        <v>15</v>
      </c>
      <c r="J49" s="10">
        <f>SALCE[[#This Row],[After_Discount]]*SALCE[[#This Row],[Tax_%]]/100</f>
        <v>71.400000000000006</v>
      </c>
      <c r="K49" s="11">
        <v>0.14000000000000001</v>
      </c>
      <c r="L49" s="10">
        <f>SALCE[[#This Row],[Quantity]]*SALCE[[#This Row],[Unit_Price]]</f>
        <v>60000</v>
      </c>
      <c r="M49" s="10">
        <f>SALCE[[#This Row],[Gross_Sales]]*SALCE[[#This Row],[Discount_%]]/100</f>
        <v>9000</v>
      </c>
      <c r="N49" s="10">
        <f>SALCE[[#This Row],[After_Discount]]+SALCE[[#This Row],[Tax_Value]]</f>
        <v>51071.4</v>
      </c>
      <c r="O49" s="10">
        <f>SALCE[[#This Row],[Gross_Sales]]*70%</f>
        <v>42000</v>
      </c>
      <c r="P49" s="10">
        <f>SALCE[[#This Row],[Net_Sales]]-SALCE[[#This Row],[Cost_Price]]</f>
        <v>9071.4000000000015</v>
      </c>
      <c r="Q49" s="10">
        <f>SALCE[[#This Row],[Gross_Sales]]-SALCE[[#This Row],[Discount_Value]]</f>
        <v>51000</v>
      </c>
      <c r="R49" s="15" t="s">
        <v>52</v>
      </c>
      <c r="S49" s="15" t="s">
        <v>37</v>
      </c>
      <c r="T49" s="15" t="s">
        <v>22</v>
      </c>
    </row>
    <row r="50" spans="1:20" s="12" customFormat="1" ht="30" customHeight="1" thickTop="1" thickBot="1" x14ac:dyDescent="0.4">
      <c r="A50" s="7">
        <v>1049</v>
      </c>
      <c r="B50" s="8">
        <v>45706</v>
      </c>
      <c r="C50" s="14" t="s">
        <v>30</v>
      </c>
      <c r="D50" s="14" t="s">
        <v>38</v>
      </c>
      <c r="E50" s="14" t="s">
        <v>34</v>
      </c>
      <c r="F50" s="14" t="s">
        <v>32</v>
      </c>
      <c r="G50" s="7">
        <v>8</v>
      </c>
      <c r="H50" s="7">
        <v>4000</v>
      </c>
      <c r="I50" s="9">
        <v>15</v>
      </c>
      <c r="J50" s="10">
        <f>SALCE[[#This Row],[After_Discount]]*SALCE[[#This Row],[Tax_%]]/100</f>
        <v>38.080000000000005</v>
      </c>
      <c r="K50" s="11">
        <v>0.14000000000000001</v>
      </c>
      <c r="L50" s="10">
        <f>SALCE[[#This Row],[Quantity]]*SALCE[[#This Row],[Unit_Price]]</f>
        <v>32000</v>
      </c>
      <c r="M50" s="10">
        <f>SALCE[[#This Row],[Gross_Sales]]*SALCE[[#This Row],[Discount_%]]/100</f>
        <v>4800</v>
      </c>
      <c r="N50" s="10">
        <f>SALCE[[#This Row],[After_Discount]]+SALCE[[#This Row],[Tax_Value]]</f>
        <v>27238.080000000002</v>
      </c>
      <c r="O50" s="10">
        <f>SALCE[[#This Row],[Gross_Sales]]*70%</f>
        <v>22400</v>
      </c>
      <c r="P50" s="10">
        <f>SALCE[[#This Row],[Net_Sales]]-SALCE[[#This Row],[Cost_Price]]</f>
        <v>4838.0800000000017</v>
      </c>
      <c r="Q50" s="10">
        <f>SALCE[[#This Row],[Gross_Sales]]-SALCE[[#This Row],[Discount_Value]]</f>
        <v>27200</v>
      </c>
      <c r="R50" s="15" t="s">
        <v>53</v>
      </c>
      <c r="S50" s="15" t="s">
        <v>21</v>
      </c>
      <c r="T50" s="15" t="s">
        <v>22</v>
      </c>
    </row>
    <row r="51" spans="1:20" s="12" customFormat="1" ht="30" customHeight="1" thickTop="1" thickBot="1" x14ac:dyDescent="0.4">
      <c r="A51" s="7">
        <v>1050</v>
      </c>
      <c r="B51" s="8">
        <v>45707</v>
      </c>
      <c r="C51" s="14" t="s">
        <v>39</v>
      </c>
      <c r="D51" s="14" t="s">
        <v>38</v>
      </c>
      <c r="E51" s="14" t="s">
        <v>31</v>
      </c>
      <c r="F51" s="14" t="s">
        <v>32</v>
      </c>
      <c r="G51" s="7">
        <v>4</v>
      </c>
      <c r="H51" s="7">
        <v>15000</v>
      </c>
      <c r="I51" s="9">
        <v>10</v>
      </c>
      <c r="J51" s="10">
        <f>SALCE[[#This Row],[After_Discount]]*SALCE[[#This Row],[Tax_%]]/100</f>
        <v>75.600000000000009</v>
      </c>
      <c r="K51" s="11">
        <v>0.14000000000000001</v>
      </c>
      <c r="L51" s="10">
        <f>SALCE[[#This Row],[Quantity]]*SALCE[[#This Row],[Unit_Price]]</f>
        <v>60000</v>
      </c>
      <c r="M51" s="10">
        <f>SALCE[[#This Row],[Gross_Sales]]*SALCE[[#This Row],[Discount_%]]/100</f>
        <v>6000</v>
      </c>
      <c r="N51" s="10">
        <f>SALCE[[#This Row],[After_Discount]]+SALCE[[#This Row],[Tax_Value]]</f>
        <v>54075.6</v>
      </c>
      <c r="O51" s="10">
        <f>SALCE[[#This Row],[Gross_Sales]]*70%</f>
        <v>42000</v>
      </c>
      <c r="P51" s="10">
        <f>SALCE[[#This Row],[Net_Sales]]-SALCE[[#This Row],[Cost_Price]]</f>
        <v>12075.599999999999</v>
      </c>
      <c r="Q51" s="10">
        <f>SALCE[[#This Row],[Gross_Sales]]-SALCE[[#This Row],[Discount_Value]]</f>
        <v>54000</v>
      </c>
      <c r="R51" s="15" t="s">
        <v>58</v>
      </c>
      <c r="S51" s="15" t="s">
        <v>26</v>
      </c>
      <c r="T51" s="15" t="s">
        <v>22</v>
      </c>
    </row>
    <row r="52" spans="1:20" s="12" customFormat="1" ht="30" customHeight="1" thickTop="1" thickBot="1" x14ac:dyDescent="0.4">
      <c r="A52" s="7">
        <v>1051</v>
      </c>
      <c r="B52" s="8">
        <v>45708</v>
      </c>
      <c r="C52" s="14" t="s">
        <v>23</v>
      </c>
      <c r="D52" s="14" t="s">
        <v>29</v>
      </c>
      <c r="E52" s="14" t="s">
        <v>25</v>
      </c>
      <c r="F52" s="14" t="s">
        <v>20</v>
      </c>
      <c r="G52" s="7">
        <v>8</v>
      </c>
      <c r="H52" s="7">
        <v>500</v>
      </c>
      <c r="I52" s="9">
        <v>5</v>
      </c>
      <c r="J52" s="10">
        <f>SALCE[[#This Row],[After_Discount]]*SALCE[[#This Row],[Tax_%]]/100</f>
        <v>5.32</v>
      </c>
      <c r="K52" s="11">
        <v>0.14000000000000001</v>
      </c>
      <c r="L52" s="10">
        <f>SALCE[[#This Row],[Quantity]]*SALCE[[#This Row],[Unit_Price]]</f>
        <v>4000</v>
      </c>
      <c r="M52" s="10">
        <f>SALCE[[#This Row],[Gross_Sales]]*SALCE[[#This Row],[Discount_%]]/100</f>
        <v>200</v>
      </c>
      <c r="N52" s="10">
        <f>SALCE[[#This Row],[After_Discount]]+SALCE[[#This Row],[Tax_Value]]</f>
        <v>3805.32</v>
      </c>
      <c r="O52" s="10">
        <f>SALCE[[#This Row],[Gross_Sales]]*70%</f>
        <v>2800</v>
      </c>
      <c r="P52" s="10">
        <f>SALCE[[#This Row],[Net_Sales]]-SALCE[[#This Row],[Cost_Price]]</f>
        <v>1005.3200000000002</v>
      </c>
      <c r="Q52" s="10">
        <f>SALCE[[#This Row],[Gross_Sales]]-SALCE[[#This Row],[Discount_Value]]</f>
        <v>3800</v>
      </c>
      <c r="R52" s="15" t="s">
        <v>52</v>
      </c>
      <c r="S52" s="15" t="s">
        <v>37</v>
      </c>
      <c r="T52" s="15" t="s">
        <v>22</v>
      </c>
    </row>
    <row r="53" spans="1:20" s="12" customFormat="1" ht="30" customHeight="1" thickTop="1" thickBot="1" x14ac:dyDescent="0.4">
      <c r="A53" s="7">
        <v>1052</v>
      </c>
      <c r="B53" s="8">
        <v>45709</v>
      </c>
      <c r="C53" s="14" t="s">
        <v>23</v>
      </c>
      <c r="D53" s="14" t="s">
        <v>41</v>
      </c>
      <c r="E53" s="14" t="s">
        <v>31</v>
      </c>
      <c r="F53" s="14" t="s">
        <v>32</v>
      </c>
      <c r="G53" s="7">
        <v>2</v>
      </c>
      <c r="H53" s="7">
        <v>15000</v>
      </c>
      <c r="I53" s="9">
        <v>5</v>
      </c>
      <c r="J53" s="10">
        <f>SALCE[[#This Row],[After_Discount]]*SALCE[[#This Row],[Tax_%]]/100</f>
        <v>39.900000000000006</v>
      </c>
      <c r="K53" s="11">
        <v>0.14000000000000001</v>
      </c>
      <c r="L53" s="10">
        <f>SALCE[[#This Row],[Quantity]]*SALCE[[#This Row],[Unit_Price]]</f>
        <v>30000</v>
      </c>
      <c r="M53" s="10">
        <f>SALCE[[#This Row],[Gross_Sales]]*SALCE[[#This Row],[Discount_%]]/100</f>
        <v>1500</v>
      </c>
      <c r="N53" s="10">
        <f>SALCE[[#This Row],[After_Discount]]+SALCE[[#This Row],[Tax_Value]]</f>
        <v>28539.9</v>
      </c>
      <c r="O53" s="10">
        <f>SALCE[[#This Row],[Gross_Sales]]*70%</f>
        <v>21000</v>
      </c>
      <c r="P53" s="10">
        <f>SALCE[[#This Row],[Net_Sales]]-SALCE[[#This Row],[Cost_Price]]</f>
        <v>7539.9000000000015</v>
      </c>
      <c r="Q53" s="10">
        <f>SALCE[[#This Row],[Gross_Sales]]-SALCE[[#This Row],[Discount_Value]]</f>
        <v>28500</v>
      </c>
      <c r="R53" s="15" t="s">
        <v>52</v>
      </c>
      <c r="S53" s="15" t="s">
        <v>21</v>
      </c>
      <c r="T53" s="15" t="s">
        <v>22</v>
      </c>
    </row>
    <row r="54" spans="1:20" s="12" customFormat="1" ht="30" customHeight="1" thickTop="1" thickBot="1" x14ac:dyDescent="0.4">
      <c r="A54" s="7">
        <v>1053</v>
      </c>
      <c r="B54" s="8">
        <v>45710</v>
      </c>
      <c r="C54" s="14" t="s">
        <v>23</v>
      </c>
      <c r="D54" s="14" t="s">
        <v>18</v>
      </c>
      <c r="E54" s="14" t="s">
        <v>19</v>
      </c>
      <c r="F54" s="14" t="s">
        <v>20</v>
      </c>
      <c r="G54" s="7">
        <v>7</v>
      </c>
      <c r="H54" s="7">
        <v>300</v>
      </c>
      <c r="I54" s="9">
        <v>0</v>
      </c>
      <c r="J54" s="10">
        <f>SALCE[[#This Row],[After_Discount]]*SALCE[[#This Row],[Tax_%]]/100</f>
        <v>2.94</v>
      </c>
      <c r="K54" s="11">
        <v>0.14000000000000001</v>
      </c>
      <c r="L54" s="10">
        <f>SALCE[[#This Row],[Quantity]]*SALCE[[#This Row],[Unit_Price]]</f>
        <v>2100</v>
      </c>
      <c r="M54" s="10">
        <f>SALCE[[#This Row],[Gross_Sales]]*SALCE[[#This Row],[Discount_%]]/100</f>
        <v>0</v>
      </c>
      <c r="N54" s="10">
        <f>SALCE[[#This Row],[After_Discount]]+SALCE[[#This Row],[Tax_Value]]</f>
        <v>2102.94</v>
      </c>
      <c r="O54" s="10">
        <f>SALCE[[#This Row],[Gross_Sales]]*70%</f>
        <v>1470</v>
      </c>
      <c r="P54" s="10">
        <f>SALCE[[#This Row],[Net_Sales]]-SALCE[[#This Row],[Cost_Price]]</f>
        <v>632.94000000000005</v>
      </c>
      <c r="Q54" s="10">
        <f>SALCE[[#This Row],[Gross_Sales]]-SALCE[[#This Row],[Discount_Value]]</f>
        <v>2100</v>
      </c>
      <c r="R54" s="15" t="s">
        <v>61</v>
      </c>
      <c r="S54" s="15" t="s">
        <v>21</v>
      </c>
      <c r="T54" s="15" t="s">
        <v>22</v>
      </c>
    </row>
    <row r="55" spans="1:20" s="12" customFormat="1" ht="30" customHeight="1" thickTop="1" thickBot="1" x14ac:dyDescent="0.4">
      <c r="A55" s="7">
        <v>1054</v>
      </c>
      <c r="B55" s="8">
        <v>45711</v>
      </c>
      <c r="C55" s="14" t="s">
        <v>30</v>
      </c>
      <c r="D55" s="14" t="s">
        <v>24</v>
      </c>
      <c r="E55" s="14" t="s">
        <v>19</v>
      </c>
      <c r="F55" s="14" t="s">
        <v>20</v>
      </c>
      <c r="G55" s="7">
        <v>4</v>
      </c>
      <c r="H55" s="7">
        <v>300</v>
      </c>
      <c r="I55" s="9">
        <v>5</v>
      </c>
      <c r="J55" s="10">
        <f>SALCE[[#This Row],[After_Discount]]*SALCE[[#This Row],[Tax_%]]/100</f>
        <v>1.5960000000000003</v>
      </c>
      <c r="K55" s="11">
        <v>0.14000000000000001</v>
      </c>
      <c r="L55" s="10">
        <f>SALCE[[#This Row],[Quantity]]*SALCE[[#This Row],[Unit_Price]]</f>
        <v>1200</v>
      </c>
      <c r="M55" s="10">
        <f>SALCE[[#This Row],[Gross_Sales]]*SALCE[[#This Row],[Discount_%]]/100</f>
        <v>60</v>
      </c>
      <c r="N55" s="10">
        <f>SALCE[[#This Row],[After_Discount]]+SALCE[[#This Row],[Tax_Value]]</f>
        <v>1141.596</v>
      </c>
      <c r="O55" s="10">
        <f>SALCE[[#This Row],[Gross_Sales]]*70%</f>
        <v>840</v>
      </c>
      <c r="P55" s="10">
        <f>SALCE[[#This Row],[Net_Sales]]-SALCE[[#This Row],[Cost_Price]]</f>
        <v>301.596</v>
      </c>
      <c r="Q55" s="10">
        <f>SALCE[[#This Row],[Gross_Sales]]-SALCE[[#This Row],[Discount_Value]]</f>
        <v>1140</v>
      </c>
      <c r="R55" s="15" t="s">
        <v>56</v>
      </c>
      <c r="S55" s="15" t="s">
        <v>26</v>
      </c>
      <c r="T55" s="15" t="s">
        <v>27</v>
      </c>
    </row>
    <row r="56" spans="1:20" s="12" customFormat="1" ht="30" customHeight="1" thickTop="1" thickBot="1" x14ac:dyDescent="0.4">
      <c r="A56" s="7">
        <v>1055</v>
      </c>
      <c r="B56" s="8">
        <v>45712</v>
      </c>
      <c r="C56" s="14" t="s">
        <v>35</v>
      </c>
      <c r="D56" s="14" t="s">
        <v>41</v>
      </c>
      <c r="E56" s="14" t="s">
        <v>33</v>
      </c>
      <c r="F56" s="14" t="s">
        <v>32</v>
      </c>
      <c r="G56" s="7">
        <v>6</v>
      </c>
      <c r="H56" s="7">
        <v>6000</v>
      </c>
      <c r="I56" s="9">
        <v>5</v>
      </c>
      <c r="J56" s="10">
        <f>SALCE[[#This Row],[After_Discount]]*SALCE[[#This Row],[Tax_%]]/100</f>
        <v>47.88000000000001</v>
      </c>
      <c r="K56" s="11">
        <v>0.14000000000000001</v>
      </c>
      <c r="L56" s="10">
        <f>SALCE[[#This Row],[Quantity]]*SALCE[[#This Row],[Unit_Price]]</f>
        <v>36000</v>
      </c>
      <c r="M56" s="10">
        <f>SALCE[[#This Row],[Gross_Sales]]*SALCE[[#This Row],[Discount_%]]/100</f>
        <v>1800</v>
      </c>
      <c r="N56" s="10">
        <f>SALCE[[#This Row],[After_Discount]]+SALCE[[#This Row],[Tax_Value]]</f>
        <v>34247.879999999997</v>
      </c>
      <c r="O56" s="10">
        <f>SALCE[[#This Row],[Gross_Sales]]*70%</f>
        <v>25200</v>
      </c>
      <c r="P56" s="10">
        <f>SALCE[[#This Row],[Net_Sales]]-SALCE[[#This Row],[Cost_Price]]</f>
        <v>9047.8799999999974</v>
      </c>
      <c r="Q56" s="10">
        <f>SALCE[[#This Row],[Gross_Sales]]-SALCE[[#This Row],[Discount_Value]]</f>
        <v>34200</v>
      </c>
      <c r="R56" s="15" t="s">
        <v>49</v>
      </c>
      <c r="S56" s="15" t="s">
        <v>37</v>
      </c>
      <c r="T56" s="15" t="s">
        <v>22</v>
      </c>
    </row>
    <row r="57" spans="1:20" s="12" customFormat="1" ht="30" customHeight="1" thickTop="1" thickBot="1" x14ac:dyDescent="0.4">
      <c r="A57" s="7">
        <v>1056</v>
      </c>
      <c r="B57" s="8">
        <v>45713</v>
      </c>
      <c r="C57" s="14" t="s">
        <v>30</v>
      </c>
      <c r="D57" s="14" t="s">
        <v>29</v>
      </c>
      <c r="E57" s="14" t="s">
        <v>40</v>
      </c>
      <c r="F57" s="14" t="s">
        <v>20</v>
      </c>
      <c r="G57" s="7">
        <v>10</v>
      </c>
      <c r="H57" s="7">
        <v>800</v>
      </c>
      <c r="I57" s="9">
        <v>10</v>
      </c>
      <c r="J57" s="10">
        <f>SALCE[[#This Row],[After_Discount]]*SALCE[[#This Row],[Tax_%]]/100</f>
        <v>10.080000000000002</v>
      </c>
      <c r="K57" s="11">
        <v>0.14000000000000001</v>
      </c>
      <c r="L57" s="10">
        <f>SALCE[[#This Row],[Quantity]]*SALCE[[#This Row],[Unit_Price]]</f>
        <v>8000</v>
      </c>
      <c r="M57" s="10">
        <f>SALCE[[#This Row],[Gross_Sales]]*SALCE[[#This Row],[Discount_%]]/100</f>
        <v>800</v>
      </c>
      <c r="N57" s="10">
        <f>SALCE[[#This Row],[After_Discount]]+SALCE[[#This Row],[Tax_Value]]</f>
        <v>7210.08</v>
      </c>
      <c r="O57" s="10">
        <f>SALCE[[#This Row],[Gross_Sales]]*70%</f>
        <v>5600</v>
      </c>
      <c r="P57" s="10">
        <f>SALCE[[#This Row],[Net_Sales]]-SALCE[[#This Row],[Cost_Price]]</f>
        <v>1610.08</v>
      </c>
      <c r="Q57" s="10">
        <f>SALCE[[#This Row],[Gross_Sales]]-SALCE[[#This Row],[Discount_Value]]</f>
        <v>7200</v>
      </c>
      <c r="R57" s="15" t="s">
        <v>61</v>
      </c>
      <c r="S57" s="15" t="s">
        <v>37</v>
      </c>
      <c r="T57" s="15" t="s">
        <v>22</v>
      </c>
    </row>
    <row r="58" spans="1:20" s="12" customFormat="1" ht="30" customHeight="1" thickTop="1" thickBot="1" x14ac:dyDescent="0.4">
      <c r="A58" s="7">
        <v>1057</v>
      </c>
      <c r="B58" s="8">
        <v>45714</v>
      </c>
      <c r="C58" s="14" t="s">
        <v>28</v>
      </c>
      <c r="D58" s="14" t="s">
        <v>41</v>
      </c>
      <c r="E58" s="14" t="s">
        <v>31</v>
      </c>
      <c r="F58" s="14" t="s">
        <v>32</v>
      </c>
      <c r="G58" s="7">
        <v>2</v>
      </c>
      <c r="H58" s="7">
        <v>15000</v>
      </c>
      <c r="I58" s="9">
        <v>0</v>
      </c>
      <c r="J58" s="10">
        <f>SALCE[[#This Row],[After_Discount]]*SALCE[[#This Row],[Tax_%]]/100</f>
        <v>42</v>
      </c>
      <c r="K58" s="11">
        <v>0.14000000000000001</v>
      </c>
      <c r="L58" s="10">
        <f>SALCE[[#This Row],[Quantity]]*SALCE[[#This Row],[Unit_Price]]</f>
        <v>30000</v>
      </c>
      <c r="M58" s="10">
        <f>SALCE[[#This Row],[Gross_Sales]]*SALCE[[#This Row],[Discount_%]]/100</f>
        <v>0</v>
      </c>
      <c r="N58" s="10">
        <f>SALCE[[#This Row],[After_Discount]]+SALCE[[#This Row],[Tax_Value]]</f>
        <v>30042</v>
      </c>
      <c r="O58" s="10">
        <f>SALCE[[#This Row],[Gross_Sales]]*70%</f>
        <v>21000</v>
      </c>
      <c r="P58" s="10">
        <f>SALCE[[#This Row],[Net_Sales]]-SALCE[[#This Row],[Cost_Price]]</f>
        <v>9042</v>
      </c>
      <c r="Q58" s="10">
        <f>SALCE[[#This Row],[Gross_Sales]]-SALCE[[#This Row],[Discount_Value]]</f>
        <v>30000</v>
      </c>
      <c r="R58" s="15" t="s">
        <v>51</v>
      </c>
      <c r="S58" s="15" t="s">
        <v>26</v>
      </c>
      <c r="T58" s="15" t="s">
        <v>27</v>
      </c>
    </row>
    <row r="59" spans="1:20" s="12" customFormat="1" ht="30" customHeight="1" thickTop="1" thickBot="1" x14ac:dyDescent="0.4">
      <c r="A59" s="7">
        <v>1058</v>
      </c>
      <c r="B59" s="8">
        <v>45715</v>
      </c>
      <c r="C59" s="14" t="s">
        <v>23</v>
      </c>
      <c r="D59" s="14" t="s">
        <v>36</v>
      </c>
      <c r="E59" s="14" t="s">
        <v>34</v>
      </c>
      <c r="F59" s="14" t="s">
        <v>32</v>
      </c>
      <c r="G59" s="7">
        <v>10</v>
      </c>
      <c r="H59" s="7">
        <v>4000</v>
      </c>
      <c r="I59" s="9">
        <v>10</v>
      </c>
      <c r="J59" s="10">
        <f>SALCE[[#This Row],[After_Discount]]*SALCE[[#This Row],[Tax_%]]/100</f>
        <v>50.400000000000006</v>
      </c>
      <c r="K59" s="11">
        <v>0.14000000000000001</v>
      </c>
      <c r="L59" s="10">
        <f>SALCE[[#This Row],[Quantity]]*SALCE[[#This Row],[Unit_Price]]</f>
        <v>40000</v>
      </c>
      <c r="M59" s="10">
        <f>SALCE[[#This Row],[Gross_Sales]]*SALCE[[#This Row],[Discount_%]]/100</f>
        <v>4000</v>
      </c>
      <c r="N59" s="10">
        <f>SALCE[[#This Row],[After_Discount]]+SALCE[[#This Row],[Tax_Value]]</f>
        <v>36050.400000000001</v>
      </c>
      <c r="O59" s="10">
        <f>SALCE[[#This Row],[Gross_Sales]]*70%</f>
        <v>28000</v>
      </c>
      <c r="P59" s="10">
        <f>SALCE[[#This Row],[Net_Sales]]-SALCE[[#This Row],[Cost_Price]]</f>
        <v>8050.4000000000015</v>
      </c>
      <c r="Q59" s="10">
        <f>SALCE[[#This Row],[Gross_Sales]]-SALCE[[#This Row],[Discount_Value]]</f>
        <v>36000</v>
      </c>
      <c r="R59" s="15" t="s">
        <v>52</v>
      </c>
      <c r="S59" s="15" t="s">
        <v>37</v>
      </c>
      <c r="T59" s="15" t="s">
        <v>22</v>
      </c>
    </row>
    <row r="60" spans="1:20" s="12" customFormat="1" ht="30" customHeight="1" thickTop="1" thickBot="1" x14ac:dyDescent="0.4">
      <c r="A60" s="7">
        <v>1059</v>
      </c>
      <c r="B60" s="8">
        <v>45716</v>
      </c>
      <c r="C60" s="14" t="s">
        <v>28</v>
      </c>
      <c r="D60" s="14" t="s">
        <v>38</v>
      </c>
      <c r="E60" s="14" t="s">
        <v>31</v>
      </c>
      <c r="F60" s="14" t="s">
        <v>32</v>
      </c>
      <c r="G60" s="7">
        <v>3</v>
      </c>
      <c r="H60" s="7">
        <v>15000</v>
      </c>
      <c r="I60" s="9">
        <v>5</v>
      </c>
      <c r="J60" s="10">
        <f>SALCE[[#This Row],[After_Discount]]*SALCE[[#This Row],[Tax_%]]/100</f>
        <v>59.850000000000009</v>
      </c>
      <c r="K60" s="11">
        <v>0.14000000000000001</v>
      </c>
      <c r="L60" s="10">
        <f>SALCE[[#This Row],[Quantity]]*SALCE[[#This Row],[Unit_Price]]</f>
        <v>45000</v>
      </c>
      <c r="M60" s="10">
        <f>SALCE[[#This Row],[Gross_Sales]]*SALCE[[#This Row],[Discount_%]]/100</f>
        <v>2250</v>
      </c>
      <c r="N60" s="10">
        <f>SALCE[[#This Row],[After_Discount]]+SALCE[[#This Row],[Tax_Value]]</f>
        <v>42809.85</v>
      </c>
      <c r="O60" s="10">
        <f>SALCE[[#This Row],[Gross_Sales]]*70%</f>
        <v>31499.999999999996</v>
      </c>
      <c r="P60" s="10">
        <f>SALCE[[#This Row],[Net_Sales]]-SALCE[[#This Row],[Cost_Price]]</f>
        <v>11309.850000000002</v>
      </c>
      <c r="Q60" s="10">
        <f>SALCE[[#This Row],[Gross_Sales]]-SALCE[[#This Row],[Discount_Value]]</f>
        <v>42750</v>
      </c>
      <c r="R60" s="15" t="s">
        <v>59</v>
      </c>
      <c r="S60" s="15" t="s">
        <v>21</v>
      </c>
      <c r="T60" s="15" t="s">
        <v>27</v>
      </c>
    </row>
    <row r="61" spans="1:20" s="12" customFormat="1" ht="30" customHeight="1" thickTop="1" thickBot="1" x14ac:dyDescent="0.4">
      <c r="A61" s="7">
        <v>1060</v>
      </c>
      <c r="B61" s="8">
        <v>45717</v>
      </c>
      <c r="C61" s="14" t="s">
        <v>39</v>
      </c>
      <c r="D61" s="14" t="s">
        <v>38</v>
      </c>
      <c r="E61" s="14" t="s">
        <v>19</v>
      </c>
      <c r="F61" s="14" t="s">
        <v>20</v>
      </c>
      <c r="G61" s="7">
        <v>6</v>
      </c>
      <c r="H61" s="7">
        <v>300</v>
      </c>
      <c r="I61" s="9">
        <v>10</v>
      </c>
      <c r="J61" s="10">
        <f>SALCE[[#This Row],[After_Discount]]*SALCE[[#This Row],[Tax_%]]/100</f>
        <v>2.2680000000000002</v>
      </c>
      <c r="K61" s="11">
        <v>0.14000000000000001</v>
      </c>
      <c r="L61" s="10">
        <f>SALCE[[#This Row],[Quantity]]*SALCE[[#This Row],[Unit_Price]]</f>
        <v>1800</v>
      </c>
      <c r="M61" s="10">
        <f>SALCE[[#This Row],[Gross_Sales]]*SALCE[[#This Row],[Discount_%]]/100</f>
        <v>180</v>
      </c>
      <c r="N61" s="10">
        <f>SALCE[[#This Row],[After_Discount]]+SALCE[[#This Row],[Tax_Value]]</f>
        <v>1622.268</v>
      </c>
      <c r="O61" s="10">
        <f>SALCE[[#This Row],[Gross_Sales]]*70%</f>
        <v>1260</v>
      </c>
      <c r="P61" s="10">
        <f>SALCE[[#This Row],[Net_Sales]]-SALCE[[#This Row],[Cost_Price]]</f>
        <v>362.26800000000003</v>
      </c>
      <c r="Q61" s="10">
        <f>SALCE[[#This Row],[Gross_Sales]]-SALCE[[#This Row],[Discount_Value]]</f>
        <v>1620</v>
      </c>
      <c r="R61" s="15" t="s">
        <v>61</v>
      </c>
      <c r="S61" s="15" t="s">
        <v>26</v>
      </c>
      <c r="T61" s="15" t="s">
        <v>27</v>
      </c>
    </row>
    <row r="62" spans="1:20" s="12" customFormat="1" ht="30" customHeight="1" thickTop="1" thickBot="1" x14ac:dyDescent="0.4">
      <c r="A62" s="7">
        <v>1061</v>
      </c>
      <c r="B62" s="8">
        <v>45718</v>
      </c>
      <c r="C62" s="14" t="s">
        <v>17</v>
      </c>
      <c r="D62" s="14" t="s">
        <v>41</v>
      </c>
      <c r="E62" s="14" t="s">
        <v>40</v>
      </c>
      <c r="F62" s="14" t="s">
        <v>20</v>
      </c>
      <c r="G62" s="7">
        <v>9</v>
      </c>
      <c r="H62" s="7">
        <v>800</v>
      </c>
      <c r="I62" s="9">
        <v>10</v>
      </c>
      <c r="J62" s="10">
        <f>SALCE[[#This Row],[After_Discount]]*SALCE[[#This Row],[Tax_%]]/100</f>
        <v>9.072000000000001</v>
      </c>
      <c r="K62" s="11">
        <v>0.14000000000000001</v>
      </c>
      <c r="L62" s="10">
        <f>SALCE[[#This Row],[Quantity]]*SALCE[[#This Row],[Unit_Price]]</f>
        <v>7200</v>
      </c>
      <c r="M62" s="10">
        <f>SALCE[[#This Row],[Gross_Sales]]*SALCE[[#This Row],[Discount_%]]/100</f>
        <v>720</v>
      </c>
      <c r="N62" s="10">
        <f>SALCE[[#This Row],[After_Discount]]+SALCE[[#This Row],[Tax_Value]]</f>
        <v>6489.0720000000001</v>
      </c>
      <c r="O62" s="10">
        <f>SALCE[[#This Row],[Gross_Sales]]*70%</f>
        <v>5040</v>
      </c>
      <c r="P62" s="10">
        <f>SALCE[[#This Row],[Net_Sales]]-SALCE[[#This Row],[Cost_Price]]</f>
        <v>1449.0720000000001</v>
      </c>
      <c r="Q62" s="10">
        <f>SALCE[[#This Row],[Gross_Sales]]-SALCE[[#This Row],[Discount_Value]]</f>
        <v>6480</v>
      </c>
      <c r="R62" s="15" t="s">
        <v>62</v>
      </c>
      <c r="S62" s="15" t="s">
        <v>21</v>
      </c>
      <c r="T62" s="15" t="s">
        <v>27</v>
      </c>
    </row>
    <row r="63" spans="1:20" s="12" customFormat="1" ht="30" customHeight="1" thickTop="1" thickBot="1" x14ac:dyDescent="0.4">
      <c r="A63" s="7">
        <v>1062</v>
      </c>
      <c r="B63" s="8">
        <v>45719</v>
      </c>
      <c r="C63" s="14" t="s">
        <v>39</v>
      </c>
      <c r="D63" s="14" t="s">
        <v>18</v>
      </c>
      <c r="E63" s="14" t="s">
        <v>25</v>
      </c>
      <c r="F63" s="14" t="s">
        <v>20</v>
      </c>
      <c r="G63" s="7">
        <v>7</v>
      </c>
      <c r="H63" s="7">
        <v>500</v>
      </c>
      <c r="I63" s="9">
        <v>0</v>
      </c>
      <c r="J63" s="10">
        <f>SALCE[[#This Row],[After_Discount]]*SALCE[[#This Row],[Tax_%]]/100</f>
        <v>4.9000000000000004</v>
      </c>
      <c r="K63" s="11">
        <v>0.14000000000000001</v>
      </c>
      <c r="L63" s="10">
        <f>SALCE[[#This Row],[Quantity]]*SALCE[[#This Row],[Unit_Price]]</f>
        <v>3500</v>
      </c>
      <c r="M63" s="10">
        <f>SALCE[[#This Row],[Gross_Sales]]*SALCE[[#This Row],[Discount_%]]/100</f>
        <v>0</v>
      </c>
      <c r="N63" s="10">
        <f>SALCE[[#This Row],[After_Discount]]+SALCE[[#This Row],[Tax_Value]]</f>
        <v>3504.9</v>
      </c>
      <c r="O63" s="10">
        <f>SALCE[[#This Row],[Gross_Sales]]*70%</f>
        <v>2450</v>
      </c>
      <c r="P63" s="10">
        <f>SALCE[[#This Row],[Net_Sales]]-SALCE[[#This Row],[Cost_Price]]</f>
        <v>1054.9000000000001</v>
      </c>
      <c r="Q63" s="10">
        <f>SALCE[[#This Row],[Gross_Sales]]-SALCE[[#This Row],[Discount_Value]]</f>
        <v>3500</v>
      </c>
      <c r="R63" s="15" t="s">
        <v>53</v>
      </c>
      <c r="S63" s="15" t="s">
        <v>26</v>
      </c>
      <c r="T63" s="15" t="s">
        <v>27</v>
      </c>
    </row>
    <row r="64" spans="1:20" s="12" customFormat="1" ht="30" customHeight="1" thickTop="1" thickBot="1" x14ac:dyDescent="0.4">
      <c r="A64" s="7">
        <v>1063</v>
      </c>
      <c r="B64" s="8">
        <v>45720</v>
      </c>
      <c r="C64" s="14" t="s">
        <v>35</v>
      </c>
      <c r="D64" s="14" t="s">
        <v>24</v>
      </c>
      <c r="E64" s="14" t="s">
        <v>34</v>
      </c>
      <c r="F64" s="14" t="s">
        <v>32</v>
      </c>
      <c r="G64" s="7">
        <v>6</v>
      </c>
      <c r="H64" s="7">
        <v>4000</v>
      </c>
      <c r="I64" s="9">
        <v>5</v>
      </c>
      <c r="J64" s="10">
        <f>SALCE[[#This Row],[After_Discount]]*SALCE[[#This Row],[Tax_%]]/100</f>
        <v>31.920000000000005</v>
      </c>
      <c r="K64" s="11">
        <v>0.14000000000000001</v>
      </c>
      <c r="L64" s="10">
        <f>SALCE[[#This Row],[Quantity]]*SALCE[[#This Row],[Unit_Price]]</f>
        <v>24000</v>
      </c>
      <c r="M64" s="10">
        <f>SALCE[[#This Row],[Gross_Sales]]*SALCE[[#This Row],[Discount_%]]/100</f>
        <v>1200</v>
      </c>
      <c r="N64" s="10">
        <f>SALCE[[#This Row],[After_Discount]]+SALCE[[#This Row],[Tax_Value]]</f>
        <v>22831.919999999998</v>
      </c>
      <c r="O64" s="10">
        <f>SALCE[[#This Row],[Gross_Sales]]*70%</f>
        <v>16800</v>
      </c>
      <c r="P64" s="10">
        <f>SALCE[[#This Row],[Net_Sales]]-SALCE[[#This Row],[Cost_Price]]</f>
        <v>6031.9199999999983</v>
      </c>
      <c r="Q64" s="10">
        <f>SALCE[[#This Row],[Gross_Sales]]-SALCE[[#This Row],[Discount_Value]]</f>
        <v>22800</v>
      </c>
      <c r="R64" s="15" t="s">
        <v>62</v>
      </c>
      <c r="S64" s="15" t="s">
        <v>26</v>
      </c>
      <c r="T64" s="15" t="s">
        <v>27</v>
      </c>
    </row>
    <row r="65" spans="1:20" s="12" customFormat="1" ht="30" customHeight="1" thickTop="1" thickBot="1" x14ac:dyDescent="0.4">
      <c r="A65" s="7">
        <v>1064</v>
      </c>
      <c r="B65" s="8">
        <v>45721</v>
      </c>
      <c r="C65" s="14" t="s">
        <v>28</v>
      </c>
      <c r="D65" s="14" t="s">
        <v>18</v>
      </c>
      <c r="E65" s="14" t="s">
        <v>19</v>
      </c>
      <c r="F65" s="14" t="s">
        <v>20</v>
      </c>
      <c r="G65" s="7">
        <v>7</v>
      </c>
      <c r="H65" s="7">
        <v>300</v>
      </c>
      <c r="I65" s="9">
        <v>15</v>
      </c>
      <c r="J65" s="10">
        <f>SALCE[[#This Row],[After_Discount]]*SALCE[[#This Row],[Tax_%]]/100</f>
        <v>2.4990000000000006</v>
      </c>
      <c r="K65" s="11">
        <v>0.14000000000000001</v>
      </c>
      <c r="L65" s="10">
        <f>SALCE[[#This Row],[Quantity]]*SALCE[[#This Row],[Unit_Price]]</f>
        <v>2100</v>
      </c>
      <c r="M65" s="10">
        <f>SALCE[[#This Row],[Gross_Sales]]*SALCE[[#This Row],[Discount_%]]/100</f>
        <v>315</v>
      </c>
      <c r="N65" s="10">
        <f>SALCE[[#This Row],[After_Discount]]+SALCE[[#This Row],[Tax_Value]]</f>
        <v>1787.499</v>
      </c>
      <c r="O65" s="10">
        <f>SALCE[[#This Row],[Gross_Sales]]*70%</f>
        <v>1470</v>
      </c>
      <c r="P65" s="10">
        <f>SALCE[[#This Row],[Net_Sales]]-SALCE[[#This Row],[Cost_Price]]</f>
        <v>317.49900000000002</v>
      </c>
      <c r="Q65" s="10">
        <f>SALCE[[#This Row],[Gross_Sales]]-SALCE[[#This Row],[Discount_Value]]</f>
        <v>1785</v>
      </c>
      <c r="R65" s="15" t="s">
        <v>56</v>
      </c>
      <c r="S65" s="15" t="s">
        <v>26</v>
      </c>
      <c r="T65" s="15" t="s">
        <v>22</v>
      </c>
    </row>
    <row r="66" spans="1:20" s="12" customFormat="1" ht="30" customHeight="1" thickTop="1" thickBot="1" x14ac:dyDescent="0.4">
      <c r="A66" s="7">
        <v>1065</v>
      </c>
      <c r="B66" s="8">
        <v>45722</v>
      </c>
      <c r="C66" s="14" t="s">
        <v>17</v>
      </c>
      <c r="D66" s="14" t="s">
        <v>29</v>
      </c>
      <c r="E66" s="14" t="s">
        <v>40</v>
      </c>
      <c r="F66" s="14" t="s">
        <v>20</v>
      </c>
      <c r="G66" s="7">
        <v>2</v>
      </c>
      <c r="H66" s="7">
        <v>800</v>
      </c>
      <c r="I66" s="9">
        <v>0</v>
      </c>
      <c r="J66" s="10">
        <f>SALCE[[#This Row],[After_Discount]]*SALCE[[#This Row],[Tax_%]]/100</f>
        <v>2.2400000000000002</v>
      </c>
      <c r="K66" s="11">
        <v>0.14000000000000001</v>
      </c>
      <c r="L66" s="10">
        <f>SALCE[[#This Row],[Quantity]]*SALCE[[#This Row],[Unit_Price]]</f>
        <v>1600</v>
      </c>
      <c r="M66" s="10">
        <f>SALCE[[#This Row],[Gross_Sales]]*SALCE[[#This Row],[Discount_%]]/100</f>
        <v>0</v>
      </c>
      <c r="N66" s="10">
        <f>SALCE[[#This Row],[After_Discount]]+SALCE[[#This Row],[Tax_Value]]</f>
        <v>1602.24</v>
      </c>
      <c r="O66" s="10">
        <f>SALCE[[#This Row],[Gross_Sales]]*70%</f>
        <v>1120</v>
      </c>
      <c r="P66" s="10">
        <f>SALCE[[#This Row],[Net_Sales]]-SALCE[[#This Row],[Cost_Price]]</f>
        <v>482.24</v>
      </c>
      <c r="Q66" s="10">
        <f>SALCE[[#This Row],[Gross_Sales]]-SALCE[[#This Row],[Discount_Value]]</f>
        <v>1600</v>
      </c>
      <c r="R66" s="15" t="s">
        <v>54</v>
      </c>
      <c r="S66" s="15" t="s">
        <v>26</v>
      </c>
      <c r="T66" s="15" t="s">
        <v>27</v>
      </c>
    </row>
    <row r="67" spans="1:20" s="12" customFormat="1" ht="30" customHeight="1" thickTop="1" thickBot="1" x14ac:dyDescent="0.4">
      <c r="A67" s="7">
        <v>1066</v>
      </c>
      <c r="B67" s="8">
        <v>45723</v>
      </c>
      <c r="C67" s="14" t="s">
        <v>28</v>
      </c>
      <c r="D67" s="14" t="s">
        <v>18</v>
      </c>
      <c r="E67" s="14" t="s">
        <v>31</v>
      </c>
      <c r="F67" s="14" t="s">
        <v>32</v>
      </c>
      <c r="G67" s="7">
        <v>6</v>
      </c>
      <c r="H67" s="7">
        <v>15000</v>
      </c>
      <c r="I67" s="9">
        <v>5</v>
      </c>
      <c r="J67" s="10">
        <f>SALCE[[#This Row],[After_Discount]]*SALCE[[#This Row],[Tax_%]]/100</f>
        <v>119.70000000000002</v>
      </c>
      <c r="K67" s="11">
        <v>0.14000000000000001</v>
      </c>
      <c r="L67" s="10">
        <f>SALCE[[#This Row],[Quantity]]*SALCE[[#This Row],[Unit_Price]]</f>
        <v>90000</v>
      </c>
      <c r="M67" s="10">
        <f>SALCE[[#This Row],[Gross_Sales]]*SALCE[[#This Row],[Discount_%]]/100</f>
        <v>4500</v>
      </c>
      <c r="N67" s="10">
        <f>SALCE[[#This Row],[After_Discount]]+SALCE[[#This Row],[Tax_Value]]</f>
        <v>85619.7</v>
      </c>
      <c r="O67" s="10">
        <f>SALCE[[#This Row],[Gross_Sales]]*70%</f>
        <v>62999.999999999993</v>
      </c>
      <c r="P67" s="10">
        <f>SALCE[[#This Row],[Net_Sales]]-SALCE[[#This Row],[Cost_Price]]</f>
        <v>22619.700000000004</v>
      </c>
      <c r="Q67" s="10">
        <f>SALCE[[#This Row],[Gross_Sales]]-SALCE[[#This Row],[Discount_Value]]</f>
        <v>85500</v>
      </c>
      <c r="R67" s="15" t="s">
        <v>51</v>
      </c>
      <c r="S67" s="15" t="s">
        <v>37</v>
      </c>
      <c r="T67" s="15" t="s">
        <v>27</v>
      </c>
    </row>
    <row r="68" spans="1:20" s="12" customFormat="1" ht="30" customHeight="1" thickTop="1" thickBot="1" x14ac:dyDescent="0.4">
      <c r="A68" s="7">
        <v>1067</v>
      </c>
      <c r="B68" s="8">
        <v>45724</v>
      </c>
      <c r="C68" s="14" t="s">
        <v>35</v>
      </c>
      <c r="D68" s="14" t="s">
        <v>29</v>
      </c>
      <c r="E68" s="14" t="s">
        <v>19</v>
      </c>
      <c r="F68" s="14" t="s">
        <v>20</v>
      </c>
      <c r="G68" s="7">
        <v>2</v>
      </c>
      <c r="H68" s="7">
        <v>300</v>
      </c>
      <c r="I68" s="9">
        <v>15</v>
      </c>
      <c r="J68" s="10">
        <f>SALCE[[#This Row],[After_Discount]]*SALCE[[#This Row],[Tax_%]]/100</f>
        <v>0.71400000000000008</v>
      </c>
      <c r="K68" s="11">
        <v>0.14000000000000001</v>
      </c>
      <c r="L68" s="10">
        <f>SALCE[[#This Row],[Quantity]]*SALCE[[#This Row],[Unit_Price]]</f>
        <v>600</v>
      </c>
      <c r="M68" s="10">
        <f>SALCE[[#This Row],[Gross_Sales]]*SALCE[[#This Row],[Discount_%]]/100</f>
        <v>90</v>
      </c>
      <c r="N68" s="10">
        <f>SALCE[[#This Row],[After_Discount]]+SALCE[[#This Row],[Tax_Value]]</f>
        <v>510.714</v>
      </c>
      <c r="O68" s="10">
        <f>SALCE[[#This Row],[Gross_Sales]]*70%</f>
        <v>420</v>
      </c>
      <c r="P68" s="10">
        <f>SALCE[[#This Row],[Net_Sales]]-SALCE[[#This Row],[Cost_Price]]</f>
        <v>90.713999999999999</v>
      </c>
      <c r="Q68" s="10">
        <f>SALCE[[#This Row],[Gross_Sales]]-SALCE[[#This Row],[Discount_Value]]</f>
        <v>510</v>
      </c>
      <c r="R68" s="15" t="s">
        <v>59</v>
      </c>
      <c r="S68" s="15" t="s">
        <v>26</v>
      </c>
      <c r="T68" s="15" t="s">
        <v>27</v>
      </c>
    </row>
    <row r="69" spans="1:20" s="12" customFormat="1" ht="30" customHeight="1" thickTop="1" thickBot="1" x14ac:dyDescent="0.4">
      <c r="A69" s="7">
        <v>1068</v>
      </c>
      <c r="B69" s="8">
        <v>45725</v>
      </c>
      <c r="C69" s="14" t="s">
        <v>35</v>
      </c>
      <c r="D69" s="14" t="s">
        <v>24</v>
      </c>
      <c r="E69" s="14" t="s">
        <v>40</v>
      </c>
      <c r="F69" s="14" t="s">
        <v>20</v>
      </c>
      <c r="G69" s="7">
        <v>4</v>
      </c>
      <c r="H69" s="7">
        <v>800</v>
      </c>
      <c r="I69" s="9">
        <v>5</v>
      </c>
      <c r="J69" s="10">
        <f>SALCE[[#This Row],[After_Discount]]*SALCE[[#This Row],[Tax_%]]/100</f>
        <v>4.2560000000000002</v>
      </c>
      <c r="K69" s="11">
        <v>0.14000000000000001</v>
      </c>
      <c r="L69" s="10">
        <f>SALCE[[#This Row],[Quantity]]*SALCE[[#This Row],[Unit_Price]]</f>
        <v>3200</v>
      </c>
      <c r="M69" s="10">
        <f>SALCE[[#This Row],[Gross_Sales]]*SALCE[[#This Row],[Discount_%]]/100</f>
        <v>160</v>
      </c>
      <c r="N69" s="10">
        <f>SALCE[[#This Row],[After_Discount]]+SALCE[[#This Row],[Tax_Value]]</f>
        <v>3044.2559999999999</v>
      </c>
      <c r="O69" s="10">
        <f>SALCE[[#This Row],[Gross_Sales]]*70%</f>
        <v>2240</v>
      </c>
      <c r="P69" s="10">
        <f>SALCE[[#This Row],[Net_Sales]]-SALCE[[#This Row],[Cost_Price]]</f>
        <v>804.25599999999986</v>
      </c>
      <c r="Q69" s="10">
        <f>SALCE[[#This Row],[Gross_Sales]]-SALCE[[#This Row],[Discount_Value]]</f>
        <v>3040</v>
      </c>
      <c r="R69" s="15" t="s">
        <v>49</v>
      </c>
      <c r="S69" s="15" t="s">
        <v>26</v>
      </c>
      <c r="T69" s="15" t="s">
        <v>27</v>
      </c>
    </row>
    <row r="70" spans="1:20" s="12" customFormat="1" ht="30" customHeight="1" thickTop="1" thickBot="1" x14ac:dyDescent="0.4">
      <c r="A70" s="7">
        <v>1069</v>
      </c>
      <c r="B70" s="8">
        <v>45726</v>
      </c>
      <c r="C70" s="14" t="s">
        <v>17</v>
      </c>
      <c r="D70" s="14" t="s">
        <v>18</v>
      </c>
      <c r="E70" s="14" t="s">
        <v>25</v>
      </c>
      <c r="F70" s="14" t="s">
        <v>20</v>
      </c>
      <c r="G70" s="7">
        <v>9</v>
      </c>
      <c r="H70" s="7">
        <v>500</v>
      </c>
      <c r="I70" s="9">
        <v>15</v>
      </c>
      <c r="J70" s="10">
        <f>SALCE[[#This Row],[After_Discount]]*SALCE[[#This Row],[Tax_%]]/100</f>
        <v>5.3550000000000004</v>
      </c>
      <c r="K70" s="11">
        <v>0.14000000000000001</v>
      </c>
      <c r="L70" s="10">
        <f>SALCE[[#This Row],[Quantity]]*SALCE[[#This Row],[Unit_Price]]</f>
        <v>4500</v>
      </c>
      <c r="M70" s="10">
        <f>SALCE[[#This Row],[Gross_Sales]]*SALCE[[#This Row],[Discount_%]]/100</f>
        <v>675</v>
      </c>
      <c r="N70" s="10">
        <f>SALCE[[#This Row],[After_Discount]]+SALCE[[#This Row],[Tax_Value]]</f>
        <v>3830.355</v>
      </c>
      <c r="O70" s="10">
        <f>SALCE[[#This Row],[Gross_Sales]]*70%</f>
        <v>3150</v>
      </c>
      <c r="P70" s="10">
        <f>SALCE[[#This Row],[Net_Sales]]-SALCE[[#This Row],[Cost_Price]]</f>
        <v>680.35500000000002</v>
      </c>
      <c r="Q70" s="10">
        <f>SALCE[[#This Row],[Gross_Sales]]-SALCE[[#This Row],[Discount_Value]]</f>
        <v>3825</v>
      </c>
      <c r="R70" s="15" t="s">
        <v>54</v>
      </c>
      <c r="S70" s="15" t="s">
        <v>21</v>
      </c>
      <c r="T70" s="15" t="s">
        <v>27</v>
      </c>
    </row>
    <row r="71" spans="1:20" s="12" customFormat="1" ht="30" customHeight="1" thickTop="1" thickBot="1" x14ac:dyDescent="0.4">
      <c r="A71" s="7">
        <v>1070</v>
      </c>
      <c r="B71" s="8">
        <v>45727</v>
      </c>
      <c r="C71" s="14" t="s">
        <v>23</v>
      </c>
      <c r="D71" s="14" t="s">
        <v>38</v>
      </c>
      <c r="E71" s="14" t="s">
        <v>19</v>
      </c>
      <c r="F71" s="14" t="s">
        <v>20</v>
      </c>
      <c r="G71" s="7">
        <v>1</v>
      </c>
      <c r="H71" s="7">
        <v>300</v>
      </c>
      <c r="I71" s="9">
        <v>15</v>
      </c>
      <c r="J71" s="10">
        <f>SALCE[[#This Row],[After_Discount]]*SALCE[[#This Row],[Tax_%]]/100</f>
        <v>0.35700000000000004</v>
      </c>
      <c r="K71" s="11">
        <v>0.14000000000000001</v>
      </c>
      <c r="L71" s="10">
        <f>SALCE[[#This Row],[Quantity]]*SALCE[[#This Row],[Unit_Price]]</f>
        <v>300</v>
      </c>
      <c r="M71" s="10">
        <f>SALCE[[#This Row],[Gross_Sales]]*SALCE[[#This Row],[Discount_%]]/100</f>
        <v>45</v>
      </c>
      <c r="N71" s="10">
        <f>SALCE[[#This Row],[After_Discount]]+SALCE[[#This Row],[Tax_Value]]</f>
        <v>255.357</v>
      </c>
      <c r="O71" s="10">
        <f>SALCE[[#This Row],[Gross_Sales]]*70%</f>
        <v>210</v>
      </c>
      <c r="P71" s="10">
        <f>SALCE[[#This Row],[Net_Sales]]-SALCE[[#This Row],[Cost_Price]]</f>
        <v>45.356999999999999</v>
      </c>
      <c r="Q71" s="10">
        <f>SALCE[[#This Row],[Gross_Sales]]-SALCE[[#This Row],[Discount_Value]]</f>
        <v>255</v>
      </c>
      <c r="R71" s="15" t="s">
        <v>50</v>
      </c>
      <c r="S71" s="15" t="s">
        <v>37</v>
      </c>
      <c r="T71" s="15" t="s">
        <v>27</v>
      </c>
    </row>
    <row r="72" spans="1:20" s="12" customFormat="1" ht="30" customHeight="1" thickTop="1" thickBot="1" x14ac:dyDescent="0.4">
      <c r="A72" s="7">
        <v>1071</v>
      </c>
      <c r="B72" s="8">
        <v>45728</v>
      </c>
      <c r="C72" s="14" t="s">
        <v>35</v>
      </c>
      <c r="D72" s="14" t="s">
        <v>18</v>
      </c>
      <c r="E72" s="14" t="s">
        <v>25</v>
      </c>
      <c r="F72" s="14" t="s">
        <v>20</v>
      </c>
      <c r="G72" s="7">
        <v>10</v>
      </c>
      <c r="H72" s="7">
        <v>500</v>
      </c>
      <c r="I72" s="9">
        <v>10</v>
      </c>
      <c r="J72" s="10">
        <f>SALCE[[#This Row],[After_Discount]]*SALCE[[#This Row],[Tax_%]]/100</f>
        <v>6.3000000000000007</v>
      </c>
      <c r="K72" s="11">
        <v>0.14000000000000001</v>
      </c>
      <c r="L72" s="10">
        <f>SALCE[[#This Row],[Quantity]]*SALCE[[#This Row],[Unit_Price]]</f>
        <v>5000</v>
      </c>
      <c r="M72" s="10">
        <f>SALCE[[#This Row],[Gross_Sales]]*SALCE[[#This Row],[Discount_%]]/100</f>
        <v>500</v>
      </c>
      <c r="N72" s="10">
        <f>SALCE[[#This Row],[After_Discount]]+SALCE[[#This Row],[Tax_Value]]</f>
        <v>4506.3</v>
      </c>
      <c r="O72" s="10">
        <f>SALCE[[#This Row],[Gross_Sales]]*70%</f>
        <v>3500</v>
      </c>
      <c r="P72" s="10">
        <f>SALCE[[#This Row],[Net_Sales]]-SALCE[[#This Row],[Cost_Price]]</f>
        <v>1006.3000000000002</v>
      </c>
      <c r="Q72" s="10">
        <f>SALCE[[#This Row],[Gross_Sales]]-SALCE[[#This Row],[Discount_Value]]</f>
        <v>4500</v>
      </c>
      <c r="R72" s="15" t="s">
        <v>61</v>
      </c>
      <c r="S72" s="15" t="s">
        <v>26</v>
      </c>
      <c r="T72" s="15" t="s">
        <v>27</v>
      </c>
    </row>
    <row r="73" spans="1:20" s="12" customFormat="1" ht="30" customHeight="1" thickTop="1" thickBot="1" x14ac:dyDescent="0.4">
      <c r="A73" s="7">
        <v>1072</v>
      </c>
      <c r="B73" s="8">
        <v>45729</v>
      </c>
      <c r="C73" s="14" t="s">
        <v>35</v>
      </c>
      <c r="D73" s="14" t="s">
        <v>18</v>
      </c>
      <c r="E73" s="14" t="s">
        <v>31</v>
      </c>
      <c r="F73" s="14" t="s">
        <v>32</v>
      </c>
      <c r="G73" s="7">
        <v>5</v>
      </c>
      <c r="H73" s="7">
        <v>15000</v>
      </c>
      <c r="I73" s="9">
        <v>15</v>
      </c>
      <c r="J73" s="10">
        <f>SALCE[[#This Row],[After_Discount]]*SALCE[[#This Row],[Tax_%]]/100</f>
        <v>89.25</v>
      </c>
      <c r="K73" s="11">
        <v>0.14000000000000001</v>
      </c>
      <c r="L73" s="10">
        <f>SALCE[[#This Row],[Quantity]]*SALCE[[#This Row],[Unit_Price]]</f>
        <v>75000</v>
      </c>
      <c r="M73" s="10">
        <f>SALCE[[#This Row],[Gross_Sales]]*SALCE[[#This Row],[Discount_%]]/100</f>
        <v>11250</v>
      </c>
      <c r="N73" s="10">
        <f>SALCE[[#This Row],[After_Discount]]+SALCE[[#This Row],[Tax_Value]]</f>
        <v>63839.25</v>
      </c>
      <c r="O73" s="10">
        <f>SALCE[[#This Row],[Gross_Sales]]*70%</f>
        <v>52500</v>
      </c>
      <c r="P73" s="10">
        <f>SALCE[[#This Row],[Net_Sales]]-SALCE[[#This Row],[Cost_Price]]</f>
        <v>11339.25</v>
      </c>
      <c r="Q73" s="10">
        <f>SALCE[[#This Row],[Gross_Sales]]-SALCE[[#This Row],[Discount_Value]]</f>
        <v>63750</v>
      </c>
      <c r="R73" s="15" t="s">
        <v>62</v>
      </c>
      <c r="S73" s="15" t="s">
        <v>21</v>
      </c>
      <c r="T73" s="15" t="s">
        <v>27</v>
      </c>
    </row>
    <row r="74" spans="1:20" s="12" customFormat="1" ht="30" customHeight="1" thickTop="1" thickBot="1" x14ac:dyDescent="0.4">
      <c r="A74" s="7">
        <v>1073</v>
      </c>
      <c r="B74" s="8">
        <v>45730</v>
      </c>
      <c r="C74" s="14" t="s">
        <v>28</v>
      </c>
      <c r="D74" s="14" t="s">
        <v>29</v>
      </c>
      <c r="E74" s="14" t="s">
        <v>19</v>
      </c>
      <c r="F74" s="14" t="s">
        <v>20</v>
      </c>
      <c r="G74" s="7">
        <v>3</v>
      </c>
      <c r="H74" s="7">
        <v>300</v>
      </c>
      <c r="I74" s="9">
        <v>0</v>
      </c>
      <c r="J74" s="10">
        <f>SALCE[[#This Row],[After_Discount]]*SALCE[[#This Row],[Tax_%]]/100</f>
        <v>1.2600000000000002</v>
      </c>
      <c r="K74" s="11">
        <v>0.14000000000000001</v>
      </c>
      <c r="L74" s="10">
        <f>SALCE[[#This Row],[Quantity]]*SALCE[[#This Row],[Unit_Price]]</f>
        <v>900</v>
      </c>
      <c r="M74" s="10">
        <f>SALCE[[#This Row],[Gross_Sales]]*SALCE[[#This Row],[Discount_%]]/100</f>
        <v>0</v>
      </c>
      <c r="N74" s="10">
        <f>SALCE[[#This Row],[After_Discount]]+SALCE[[#This Row],[Tax_Value]]</f>
        <v>901.26</v>
      </c>
      <c r="O74" s="10">
        <f>SALCE[[#This Row],[Gross_Sales]]*70%</f>
        <v>630</v>
      </c>
      <c r="P74" s="10">
        <f>SALCE[[#This Row],[Net_Sales]]-SALCE[[#This Row],[Cost_Price]]</f>
        <v>271.26</v>
      </c>
      <c r="Q74" s="10">
        <f>SALCE[[#This Row],[Gross_Sales]]-SALCE[[#This Row],[Discount_Value]]</f>
        <v>900</v>
      </c>
      <c r="R74" s="15" t="s">
        <v>58</v>
      </c>
      <c r="S74" s="15" t="s">
        <v>21</v>
      </c>
      <c r="T74" s="15" t="s">
        <v>22</v>
      </c>
    </row>
    <row r="75" spans="1:20" s="12" customFormat="1" ht="30" customHeight="1" thickTop="1" thickBot="1" x14ac:dyDescent="0.4">
      <c r="A75" s="7">
        <v>1074</v>
      </c>
      <c r="B75" s="8">
        <v>45731</v>
      </c>
      <c r="C75" s="14" t="s">
        <v>35</v>
      </c>
      <c r="D75" s="14" t="s">
        <v>24</v>
      </c>
      <c r="E75" s="14" t="s">
        <v>34</v>
      </c>
      <c r="F75" s="14" t="s">
        <v>32</v>
      </c>
      <c r="G75" s="7">
        <v>7</v>
      </c>
      <c r="H75" s="7">
        <v>4000</v>
      </c>
      <c r="I75" s="9">
        <v>10</v>
      </c>
      <c r="J75" s="10">
        <f>SALCE[[#This Row],[After_Discount]]*SALCE[[#This Row],[Tax_%]]/100</f>
        <v>35.28</v>
      </c>
      <c r="K75" s="11">
        <v>0.14000000000000001</v>
      </c>
      <c r="L75" s="10">
        <f>SALCE[[#This Row],[Quantity]]*SALCE[[#This Row],[Unit_Price]]</f>
        <v>28000</v>
      </c>
      <c r="M75" s="10">
        <f>SALCE[[#This Row],[Gross_Sales]]*SALCE[[#This Row],[Discount_%]]/100</f>
        <v>2800</v>
      </c>
      <c r="N75" s="10">
        <f>SALCE[[#This Row],[After_Discount]]+SALCE[[#This Row],[Tax_Value]]</f>
        <v>25235.279999999999</v>
      </c>
      <c r="O75" s="10">
        <f>SALCE[[#This Row],[Gross_Sales]]*70%</f>
        <v>19600</v>
      </c>
      <c r="P75" s="10">
        <f>SALCE[[#This Row],[Net_Sales]]-SALCE[[#This Row],[Cost_Price]]</f>
        <v>5635.2799999999988</v>
      </c>
      <c r="Q75" s="10">
        <f>SALCE[[#This Row],[Gross_Sales]]-SALCE[[#This Row],[Discount_Value]]</f>
        <v>25200</v>
      </c>
      <c r="R75" s="15" t="s">
        <v>59</v>
      </c>
      <c r="S75" s="15" t="s">
        <v>21</v>
      </c>
      <c r="T75" s="15" t="s">
        <v>27</v>
      </c>
    </row>
    <row r="76" spans="1:20" s="12" customFormat="1" ht="30" customHeight="1" thickTop="1" thickBot="1" x14ac:dyDescent="0.4">
      <c r="A76" s="7">
        <v>1075</v>
      </c>
      <c r="B76" s="8">
        <v>45732</v>
      </c>
      <c r="C76" s="14" t="s">
        <v>35</v>
      </c>
      <c r="D76" s="14" t="s">
        <v>36</v>
      </c>
      <c r="E76" s="14" t="s">
        <v>34</v>
      </c>
      <c r="F76" s="14" t="s">
        <v>32</v>
      </c>
      <c r="G76" s="7">
        <v>2</v>
      </c>
      <c r="H76" s="7">
        <v>4000</v>
      </c>
      <c r="I76" s="9">
        <v>0</v>
      </c>
      <c r="J76" s="10">
        <f>SALCE[[#This Row],[After_Discount]]*SALCE[[#This Row],[Tax_%]]/100</f>
        <v>11.2</v>
      </c>
      <c r="K76" s="11">
        <v>0.14000000000000001</v>
      </c>
      <c r="L76" s="10">
        <f>SALCE[[#This Row],[Quantity]]*SALCE[[#This Row],[Unit_Price]]</f>
        <v>8000</v>
      </c>
      <c r="M76" s="10">
        <f>SALCE[[#This Row],[Gross_Sales]]*SALCE[[#This Row],[Discount_%]]/100</f>
        <v>0</v>
      </c>
      <c r="N76" s="10">
        <f>SALCE[[#This Row],[After_Discount]]+SALCE[[#This Row],[Tax_Value]]</f>
        <v>8011.2</v>
      </c>
      <c r="O76" s="10">
        <f>SALCE[[#This Row],[Gross_Sales]]*70%</f>
        <v>5600</v>
      </c>
      <c r="P76" s="10">
        <f>SALCE[[#This Row],[Net_Sales]]-SALCE[[#This Row],[Cost_Price]]</f>
        <v>2411.1999999999998</v>
      </c>
      <c r="Q76" s="10">
        <f>SALCE[[#This Row],[Gross_Sales]]-SALCE[[#This Row],[Discount_Value]]</f>
        <v>8000</v>
      </c>
      <c r="R76" s="15" t="s">
        <v>49</v>
      </c>
      <c r="S76" s="15" t="s">
        <v>26</v>
      </c>
      <c r="T76" s="15" t="s">
        <v>22</v>
      </c>
    </row>
    <row r="77" spans="1:20" s="12" customFormat="1" ht="30" customHeight="1" thickTop="1" thickBot="1" x14ac:dyDescent="0.4">
      <c r="A77" s="7">
        <v>1076</v>
      </c>
      <c r="B77" s="8">
        <v>45733</v>
      </c>
      <c r="C77" s="14" t="s">
        <v>23</v>
      </c>
      <c r="D77" s="14" t="s">
        <v>38</v>
      </c>
      <c r="E77" s="14" t="s">
        <v>19</v>
      </c>
      <c r="F77" s="14" t="s">
        <v>20</v>
      </c>
      <c r="G77" s="7">
        <v>9</v>
      </c>
      <c r="H77" s="7">
        <v>300</v>
      </c>
      <c r="I77" s="9">
        <v>10</v>
      </c>
      <c r="J77" s="10">
        <f>SALCE[[#This Row],[After_Discount]]*SALCE[[#This Row],[Tax_%]]/100</f>
        <v>3.4020000000000006</v>
      </c>
      <c r="K77" s="11">
        <v>0.14000000000000001</v>
      </c>
      <c r="L77" s="10">
        <f>SALCE[[#This Row],[Quantity]]*SALCE[[#This Row],[Unit_Price]]</f>
        <v>2700</v>
      </c>
      <c r="M77" s="10">
        <f>SALCE[[#This Row],[Gross_Sales]]*SALCE[[#This Row],[Discount_%]]/100</f>
        <v>270</v>
      </c>
      <c r="N77" s="10">
        <f>SALCE[[#This Row],[After_Discount]]+SALCE[[#This Row],[Tax_Value]]</f>
        <v>2433.402</v>
      </c>
      <c r="O77" s="10">
        <f>SALCE[[#This Row],[Gross_Sales]]*70%</f>
        <v>1889.9999999999998</v>
      </c>
      <c r="P77" s="10">
        <f>SALCE[[#This Row],[Net_Sales]]-SALCE[[#This Row],[Cost_Price]]</f>
        <v>543.40200000000027</v>
      </c>
      <c r="Q77" s="10">
        <f>SALCE[[#This Row],[Gross_Sales]]-SALCE[[#This Row],[Discount_Value]]</f>
        <v>2430</v>
      </c>
      <c r="R77" s="15" t="s">
        <v>47</v>
      </c>
      <c r="S77" s="15" t="s">
        <v>21</v>
      </c>
      <c r="T77" s="15" t="s">
        <v>27</v>
      </c>
    </row>
    <row r="78" spans="1:20" s="12" customFormat="1" ht="30" customHeight="1" thickTop="1" thickBot="1" x14ac:dyDescent="0.4">
      <c r="A78" s="7">
        <v>1077</v>
      </c>
      <c r="B78" s="8">
        <v>45734</v>
      </c>
      <c r="C78" s="14" t="s">
        <v>30</v>
      </c>
      <c r="D78" s="14" t="s">
        <v>38</v>
      </c>
      <c r="E78" s="14" t="s">
        <v>33</v>
      </c>
      <c r="F78" s="14" t="s">
        <v>32</v>
      </c>
      <c r="G78" s="7">
        <v>3</v>
      </c>
      <c r="H78" s="7">
        <v>6000</v>
      </c>
      <c r="I78" s="9">
        <v>0</v>
      </c>
      <c r="J78" s="10">
        <f>SALCE[[#This Row],[After_Discount]]*SALCE[[#This Row],[Tax_%]]/100</f>
        <v>25.200000000000003</v>
      </c>
      <c r="K78" s="11">
        <v>0.14000000000000001</v>
      </c>
      <c r="L78" s="10">
        <f>SALCE[[#This Row],[Quantity]]*SALCE[[#This Row],[Unit_Price]]</f>
        <v>18000</v>
      </c>
      <c r="M78" s="10">
        <f>SALCE[[#This Row],[Gross_Sales]]*SALCE[[#This Row],[Discount_%]]/100</f>
        <v>0</v>
      </c>
      <c r="N78" s="10">
        <f>SALCE[[#This Row],[After_Discount]]+SALCE[[#This Row],[Tax_Value]]</f>
        <v>18025.2</v>
      </c>
      <c r="O78" s="10">
        <f>SALCE[[#This Row],[Gross_Sales]]*70%</f>
        <v>12600</v>
      </c>
      <c r="P78" s="10">
        <f>SALCE[[#This Row],[Net_Sales]]-SALCE[[#This Row],[Cost_Price]]</f>
        <v>5425.2000000000007</v>
      </c>
      <c r="Q78" s="10">
        <f>SALCE[[#This Row],[Gross_Sales]]-SALCE[[#This Row],[Discount_Value]]</f>
        <v>18000</v>
      </c>
      <c r="R78" s="15" t="s">
        <v>57</v>
      </c>
      <c r="S78" s="15" t="s">
        <v>26</v>
      </c>
      <c r="T78" s="15" t="s">
        <v>22</v>
      </c>
    </row>
    <row r="79" spans="1:20" s="12" customFormat="1" ht="30" customHeight="1" thickTop="1" thickBot="1" x14ac:dyDescent="0.4">
      <c r="A79" s="7">
        <v>1078</v>
      </c>
      <c r="B79" s="8">
        <v>45735</v>
      </c>
      <c r="C79" s="14" t="s">
        <v>28</v>
      </c>
      <c r="D79" s="14" t="s">
        <v>24</v>
      </c>
      <c r="E79" s="14" t="s">
        <v>34</v>
      </c>
      <c r="F79" s="14" t="s">
        <v>32</v>
      </c>
      <c r="G79" s="7">
        <v>5</v>
      </c>
      <c r="H79" s="7">
        <v>4000</v>
      </c>
      <c r="I79" s="9">
        <v>5</v>
      </c>
      <c r="J79" s="10">
        <f>SALCE[[#This Row],[After_Discount]]*SALCE[[#This Row],[Tax_%]]/100</f>
        <v>26.600000000000005</v>
      </c>
      <c r="K79" s="11">
        <v>0.14000000000000001</v>
      </c>
      <c r="L79" s="10">
        <f>SALCE[[#This Row],[Quantity]]*SALCE[[#This Row],[Unit_Price]]</f>
        <v>20000</v>
      </c>
      <c r="M79" s="10">
        <f>SALCE[[#This Row],[Gross_Sales]]*SALCE[[#This Row],[Discount_%]]/100</f>
        <v>1000</v>
      </c>
      <c r="N79" s="10">
        <f>SALCE[[#This Row],[After_Discount]]+SALCE[[#This Row],[Tax_Value]]</f>
        <v>19026.599999999999</v>
      </c>
      <c r="O79" s="10">
        <f>SALCE[[#This Row],[Gross_Sales]]*70%</f>
        <v>14000</v>
      </c>
      <c r="P79" s="10">
        <f>SALCE[[#This Row],[Net_Sales]]-SALCE[[#This Row],[Cost_Price]]</f>
        <v>5026.5999999999985</v>
      </c>
      <c r="Q79" s="10">
        <f>SALCE[[#This Row],[Gross_Sales]]-SALCE[[#This Row],[Discount_Value]]</f>
        <v>19000</v>
      </c>
      <c r="R79" s="15" t="s">
        <v>59</v>
      </c>
      <c r="S79" s="15" t="s">
        <v>26</v>
      </c>
      <c r="T79" s="15" t="s">
        <v>27</v>
      </c>
    </row>
    <row r="80" spans="1:20" s="12" customFormat="1" ht="30" customHeight="1" thickTop="1" thickBot="1" x14ac:dyDescent="0.4">
      <c r="A80" s="7">
        <v>1079</v>
      </c>
      <c r="B80" s="8">
        <v>45736</v>
      </c>
      <c r="C80" s="14" t="s">
        <v>30</v>
      </c>
      <c r="D80" s="14" t="s">
        <v>36</v>
      </c>
      <c r="E80" s="14" t="s">
        <v>25</v>
      </c>
      <c r="F80" s="14" t="s">
        <v>20</v>
      </c>
      <c r="G80" s="7">
        <v>7</v>
      </c>
      <c r="H80" s="7">
        <v>500</v>
      </c>
      <c r="I80" s="9">
        <v>0</v>
      </c>
      <c r="J80" s="10">
        <f>SALCE[[#This Row],[After_Discount]]*SALCE[[#This Row],[Tax_%]]/100</f>
        <v>4.9000000000000004</v>
      </c>
      <c r="K80" s="11">
        <v>0.14000000000000001</v>
      </c>
      <c r="L80" s="10">
        <f>SALCE[[#This Row],[Quantity]]*SALCE[[#This Row],[Unit_Price]]</f>
        <v>3500</v>
      </c>
      <c r="M80" s="10">
        <f>SALCE[[#This Row],[Gross_Sales]]*SALCE[[#This Row],[Discount_%]]/100</f>
        <v>0</v>
      </c>
      <c r="N80" s="10">
        <f>SALCE[[#This Row],[After_Discount]]+SALCE[[#This Row],[Tax_Value]]</f>
        <v>3504.9</v>
      </c>
      <c r="O80" s="10">
        <f>SALCE[[#This Row],[Gross_Sales]]*70%</f>
        <v>2450</v>
      </c>
      <c r="P80" s="10">
        <f>SALCE[[#This Row],[Net_Sales]]-SALCE[[#This Row],[Cost_Price]]</f>
        <v>1054.9000000000001</v>
      </c>
      <c r="Q80" s="10">
        <f>SALCE[[#This Row],[Gross_Sales]]-SALCE[[#This Row],[Discount_Value]]</f>
        <v>3500</v>
      </c>
      <c r="R80" s="15" t="s">
        <v>47</v>
      </c>
      <c r="S80" s="15" t="s">
        <v>21</v>
      </c>
      <c r="T80" s="15" t="s">
        <v>22</v>
      </c>
    </row>
    <row r="81" spans="1:20" s="12" customFormat="1" ht="30" customHeight="1" thickTop="1" thickBot="1" x14ac:dyDescent="0.4">
      <c r="A81" s="7">
        <v>1080</v>
      </c>
      <c r="B81" s="8">
        <v>45737</v>
      </c>
      <c r="C81" s="14" t="s">
        <v>28</v>
      </c>
      <c r="D81" s="14" t="s">
        <v>36</v>
      </c>
      <c r="E81" s="14" t="s">
        <v>19</v>
      </c>
      <c r="F81" s="14" t="s">
        <v>20</v>
      </c>
      <c r="G81" s="7">
        <v>2</v>
      </c>
      <c r="H81" s="7">
        <v>300</v>
      </c>
      <c r="I81" s="9">
        <v>15</v>
      </c>
      <c r="J81" s="10">
        <f>SALCE[[#This Row],[After_Discount]]*SALCE[[#This Row],[Tax_%]]/100</f>
        <v>0.71400000000000008</v>
      </c>
      <c r="K81" s="11">
        <v>0.14000000000000001</v>
      </c>
      <c r="L81" s="10">
        <f>SALCE[[#This Row],[Quantity]]*SALCE[[#This Row],[Unit_Price]]</f>
        <v>600</v>
      </c>
      <c r="M81" s="10">
        <f>SALCE[[#This Row],[Gross_Sales]]*SALCE[[#This Row],[Discount_%]]/100</f>
        <v>90</v>
      </c>
      <c r="N81" s="10">
        <f>SALCE[[#This Row],[After_Discount]]+SALCE[[#This Row],[Tax_Value]]</f>
        <v>510.714</v>
      </c>
      <c r="O81" s="10">
        <f>SALCE[[#This Row],[Gross_Sales]]*70%</f>
        <v>420</v>
      </c>
      <c r="P81" s="10">
        <f>SALCE[[#This Row],[Net_Sales]]-SALCE[[#This Row],[Cost_Price]]</f>
        <v>90.713999999999999</v>
      </c>
      <c r="Q81" s="10">
        <f>SALCE[[#This Row],[Gross_Sales]]-SALCE[[#This Row],[Discount_Value]]</f>
        <v>510</v>
      </c>
      <c r="R81" s="15" t="s">
        <v>49</v>
      </c>
      <c r="S81" s="15" t="s">
        <v>37</v>
      </c>
      <c r="T81" s="15" t="s">
        <v>22</v>
      </c>
    </row>
    <row r="82" spans="1:20" s="12" customFormat="1" ht="30" customHeight="1" thickTop="1" thickBot="1" x14ac:dyDescent="0.4">
      <c r="A82" s="7">
        <v>1081</v>
      </c>
      <c r="B82" s="8">
        <v>45738</v>
      </c>
      <c r="C82" s="14" t="s">
        <v>39</v>
      </c>
      <c r="D82" s="14" t="s">
        <v>24</v>
      </c>
      <c r="E82" s="14" t="s">
        <v>34</v>
      </c>
      <c r="F82" s="14" t="s">
        <v>32</v>
      </c>
      <c r="G82" s="7">
        <v>8</v>
      </c>
      <c r="H82" s="7">
        <v>4000</v>
      </c>
      <c r="I82" s="9">
        <v>10</v>
      </c>
      <c r="J82" s="10">
        <f>SALCE[[#This Row],[After_Discount]]*SALCE[[#This Row],[Tax_%]]/100</f>
        <v>40.320000000000007</v>
      </c>
      <c r="K82" s="11">
        <v>0.14000000000000001</v>
      </c>
      <c r="L82" s="10">
        <f>SALCE[[#This Row],[Quantity]]*SALCE[[#This Row],[Unit_Price]]</f>
        <v>32000</v>
      </c>
      <c r="M82" s="10">
        <f>SALCE[[#This Row],[Gross_Sales]]*SALCE[[#This Row],[Discount_%]]/100</f>
        <v>3200</v>
      </c>
      <c r="N82" s="10">
        <f>SALCE[[#This Row],[After_Discount]]+SALCE[[#This Row],[Tax_Value]]</f>
        <v>28840.32</v>
      </c>
      <c r="O82" s="10">
        <f>SALCE[[#This Row],[Gross_Sales]]*70%</f>
        <v>22400</v>
      </c>
      <c r="P82" s="10">
        <f>SALCE[[#This Row],[Net_Sales]]-SALCE[[#This Row],[Cost_Price]]</f>
        <v>6440.32</v>
      </c>
      <c r="Q82" s="10">
        <f>SALCE[[#This Row],[Gross_Sales]]-SALCE[[#This Row],[Discount_Value]]</f>
        <v>28800</v>
      </c>
      <c r="R82" s="15" t="s">
        <v>47</v>
      </c>
      <c r="S82" s="15" t="s">
        <v>21</v>
      </c>
      <c r="T82" s="15" t="s">
        <v>22</v>
      </c>
    </row>
    <row r="83" spans="1:20" s="12" customFormat="1" ht="30" customHeight="1" thickTop="1" thickBot="1" x14ac:dyDescent="0.4">
      <c r="A83" s="7">
        <v>1082</v>
      </c>
      <c r="B83" s="8">
        <v>45739</v>
      </c>
      <c r="C83" s="14" t="s">
        <v>39</v>
      </c>
      <c r="D83" s="14" t="s">
        <v>24</v>
      </c>
      <c r="E83" s="14" t="s">
        <v>19</v>
      </c>
      <c r="F83" s="14" t="s">
        <v>20</v>
      </c>
      <c r="G83" s="7">
        <v>1</v>
      </c>
      <c r="H83" s="7">
        <v>300</v>
      </c>
      <c r="I83" s="9">
        <v>5</v>
      </c>
      <c r="J83" s="10">
        <f>SALCE[[#This Row],[After_Discount]]*SALCE[[#This Row],[Tax_%]]/100</f>
        <v>0.39900000000000008</v>
      </c>
      <c r="K83" s="11">
        <v>0.14000000000000001</v>
      </c>
      <c r="L83" s="10">
        <f>SALCE[[#This Row],[Quantity]]*SALCE[[#This Row],[Unit_Price]]</f>
        <v>300</v>
      </c>
      <c r="M83" s="10">
        <f>SALCE[[#This Row],[Gross_Sales]]*SALCE[[#This Row],[Discount_%]]/100</f>
        <v>15</v>
      </c>
      <c r="N83" s="10">
        <f>SALCE[[#This Row],[After_Discount]]+SALCE[[#This Row],[Tax_Value]]</f>
        <v>285.399</v>
      </c>
      <c r="O83" s="10">
        <f>SALCE[[#This Row],[Gross_Sales]]*70%</f>
        <v>210</v>
      </c>
      <c r="P83" s="10">
        <f>SALCE[[#This Row],[Net_Sales]]-SALCE[[#This Row],[Cost_Price]]</f>
        <v>75.399000000000001</v>
      </c>
      <c r="Q83" s="10">
        <f>SALCE[[#This Row],[Gross_Sales]]-SALCE[[#This Row],[Discount_Value]]</f>
        <v>285</v>
      </c>
      <c r="R83" s="15" t="s">
        <v>47</v>
      </c>
      <c r="S83" s="15" t="s">
        <v>21</v>
      </c>
      <c r="T83" s="15" t="s">
        <v>27</v>
      </c>
    </row>
    <row r="84" spans="1:20" s="12" customFormat="1" ht="30" customHeight="1" thickTop="1" thickBot="1" x14ac:dyDescent="0.4">
      <c r="A84" s="7">
        <v>1083</v>
      </c>
      <c r="B84" s="8">
        <v>45740</v>
      </c>
      <c r="C84" s="14" t="s">
        <v>28</v>
      </c>
      <c r="D84" s="14" t="s">
        <v>29</v>
      </c>
      <c r="E84" s="14" t="s">
        <v>31</v>
      </c>
      <c r="F84" s="14" t="s">
        <v>32</v>
      </c>
      <c r="G84" s="7">
        <v>4</v>
      </c>
      <c r="H84" s="7">
        <v>15000</v>
      </c>
      <c r="I84" s="9">
        <v>5</v>
      </c>
      <c r="J84" s="10">
        <f>SALCE[[#This Row],[After_Discount]]*SALCE[[#This Row],[Tax_%]]/100</f>
        <v>79.800000000000011</v>
      </c>
      <c r="K84" s="11">
        <v>0.14000000000000001</v>
      </c>
      <c r="L84" s="10">
        <f>SALCE[[#This Row],[Quantity]]*SALCE[[#This Row],[Unit_Price]]</f>
        <v>60000</v>
      </c>
      <c r="M84" s="10">
        <f>SALCE[[#This Row],[Gross_Sales]]*SALCE[[#This Row],[Discount_%]]/100</f>
        <v>3000</v>
      </c>
      <c r="N84" s="10">
        <f>SALCE[[#This Row],[After_Discount]]+SALCE[[#This Row],[Tax_Value]]</f>
        <v>57079.8</v>
      </c>
      <c r="O84" s="10">
        <f>SALCE[[#This Row],[Gross_Sales]]*70%</f>
        <v>42000</v>
      </c>
      <c r="P84" s="10">
        <f>SALCE[[#This Row],[Net_Sales]]-SALCE[[#This Row],[Cost_Price]]</f>
        <v>15079.800000000003</v>
      </c>
      <c r="Q84" s="10">
        <f>SALCE[[#This Row],[Gross_Sales]]-SALCE[[#This Row],[Discount_Value]]</f>
        <v>57000</v>
      </c>
      <c r="R84" s="15" t="s">
        <v>53</v>
      </c>
      <c r="S84" s="15" t="s">
        <v>26</v>
      </c>
      <c r="T84" s="15" t="s">
        <v>22</v>
      </c>
    </row>
    <row r="85" spans="1:20" s="12" customFormat="1" ht="30" customHeight="1" thickTop="1" thickBot="1" x14ac:dyDescent="0.4">
      <c r="A85" s="7">
        <v>1084</v>
      </c>
      <c r="B85" s="8">
        <v>45741</v>
      </c>
      <c r="C85" s="14" t="s">
        <v>23</v>
      </c>
      <c r="D85" s="14" t="s">
        <v>18</v>
      </c>
      <c r="E85" s="14" t="s">
        <v>33</v>
      </c>
      <c r="F85" s="14" t="s">
        <v>32</v>
      </c>
      <c r="G85" s="7">
        <v>2</v>
      </c>
      <c r="H85" s="7">
        <v>6000</v>
      </c>
      <c r="I85" s="9">
        <v>10</v>
      </c>
      <c r="J85" s="10">
        <f>SALCE[[#This Row],[After_Discount]]*SALCE[[#This Row],[Tax_%]]/100</f>
        <v>15.120000000000003</v>
      </c>
      <c r="K85" s="11">
        <v>0.14000000000000001</v>
      </c>
      <c r="L85" s="10">
        <f>SALCE[[#This Row],[Quantity]]*SALCE[[#This Row],[Unit_Price]]</f>
        <v>12000</v>
      </c>
      <c r="M85" s="10">
        <f>SALCE[[#This Row],[Gross_Sales]]*SALCE[[#This Row],[Discount_%]]/100</f>
        <v>1200</v>
      </c>
      <c r="N85" s="10">
        <f>SALCE[[#This Row],[After_Discount]]+SALCE[[#This Row],[Tax_Value]]</f>
        <v>10815.12</v>
      </c>
      <c r="O85" s="10">
        <f>SALCE[[#This Row],[Gross_Sales]]*70%</f>
        <v>8400</v>
      </c>
      <c r="P85" s="10">
        <f>SALCE[[#This Row],[Net_Sales]]-SALCE[[#This Row],[Cost_Price]]</f>
        <v>2415.1200000000008</v>
      </c>
      <c r="Q85" s="10">
        <f>SALCE[[#This Row],[Gross_Sales]]-SALCE[[#This Row],[Discount_Value]]</f>
        <v>10800</v>
      </c>
      <c r="R85" s="15" t="s">
        <v>57</v>
      </c>
      <c r="S85" s="15" t="s">
        <v>21</v>
      </c>
      <c r="T85" s="15" t="s">
        <v>22</v>
      </c>
    </row>
    <row r="86" spans="1:20" s="12" customFormat="1" ht="30" customHeight="1" thickTop="1" thickBot="1" x14ac:dyDescent="0.4">
      <c r="A86" s="7">
        <v>1085</v>
      </c>
      <c r="B86" s="8">
        <v>45742</v>
      </c>
      <c r="C86" s="14" t="s">
        <v>39</v>
      </c>
      <c r="D86" s="14" t="s">
        <v>29</v>
      </c>
      <c r="E86" s="14" t="s">
        <v>34</v>
      </c>
      <c r="F86" s="14" t="s">
        <v>32</v>
      </c>
      <c r="G86" s="7">
        <v>9</v>
      </c>
      <c r="H86" s="7">
        <v>4000</v>
      </c>
      <c r="I86" s="9">
        <v>10</v>
      </c>
      <c r="J86" s="10">
        <f>SALCE[[#This Row],[After_Discount]]*SALCE[[#This Row],[Tax_%]]/100</f>
        <v>45.36</v>
      </c>
      <c r="K86" s="11">
        <v>0.14000000000000001</v>
      </c>
      <c r="L86" s="10">
        <f>SALCE[[#This Row],[Quantity]]*SALCE[[#This Row],[Unit_Price]]</f>
        <v>36000</v>
      </c>
      <c r="M86" s="10">
        <f>SALCE[[#This Row],[Gross_Sales]]*SALCE[[#This Row],[Discount_%]]/100</f>
        <v>3600</v>
      </c>
      <c r="N86" s="10">
        <f>SALCE[[#This Row],[After_Discount]]+SALCE[[#This Row],[Tax_Value]]</f>
        <v>32445.360000000001</v>
      </c>
      <c r="O86" s="10">
        <f>SALCE[[#This Row],[Gross_Sales]]*70%</f>
        <v>25200</v>
      </c>
      <c r="P86" s="10">
        <f>SALCE[[#This Row],[Net_Sales]]-SALCE[[#This Row],[Cost_Price]]</f>
        <v>7245.3600000000006</v>
      </c>
      <c r="Q86" s="10">
        <f>SALCE[[#This Row],[Gross_Sales]]-SALCE[[#This Row],[Discount_Value]]</f>
        <v>32400</v>
      </c>
      <c r="R86" s="15" t="s">
        <v>62</v>
      </c>
      <c r="S86" s="15" t="s">
        <v>26</v>
      </c>
      <c r="T86" s="15" t="s">
        <v>27</v>
      </c>
    </row>
    <row r="87" spans="1:20" s="12" customFormat="1" ht="30" customHeight="1" thickTop="1" thickBot="1" x14ac:dyDescent="0.4">
      <c r="A87" s="7">
        <v>1086</v>
      </c>
      <c r="B87" s="8">
        <v>45743</v>
      </c>
      <c r="C87" s="14" t="s">
        <v>17</v>
      </c>
      <c r="D87" s="14" t="s">
        <v>24</v>
      </c>
      <c r="E87" s="14" t="s">
        <v>31</v>
      </c>
      <c r="F87" s="14" t="s">
        <v>32</v>
      </c>
      <c r="G87" s="7">
        <v>1</v>
      </c>
      <c r="H87" s="7">
        <v>15000</v>
      </c>
      <c r="I87" s="9">
        <v>5</v>
      </c>
      <c r="J87" s="10">
        <f>SALCE[[#This Row],[After_Discount]]*SALCE[[#This Row],[Tax_%]]/100</f>
        <v>19.950000000000003</v>
      </c>
      <c r="K87" s="11">
        <v>0.14000000000000001</v>
      </c>
      <c r="L87" s="10">
        <f>SALCE[[#This Row],[Quantity]]*SALCE[[#This Row],[Unit_Price]]</f>
        <v>15000</v>
      </c>
      <c r="M87" s="10">
        <f>SALCE[[#This Row],[Gross_Sales]]*SALCE[[#This Row],[Discount_%]]/100</f>
        <v>750</v>
      </c>
      <c r="N87" s="10">
        <f>SALCE[[#This Row],[After_Discount]]+SALCE[[#This Row],[Tax_Value]]</f>
        <v>14269.95</v>
      </c>
      <c r="O87" s="10">
        <f>SALCE[[#This Row],[Gross_Sales]]*70%</f>
        <v>10500</v>
      </c>
      <c r="P87" s="10">
        <f>SALCE[[#This Row],[Net_Sales]]-SALCE[[#This Row],[Cost_Price]]</f>
        <v>3769.9500000000007</v>
      </c>
      <c r="Q87" s="10">
        <f>SALCE[[#This Row],[Gross_Sales]]-SALCE[[#This Row],[Discount_Value]]</f>
        <v>14250</v>
      </c>
      <c r="R87" s="15" t="s">
        <v>51</v>
      </c>
      <c r="S87" s="15" t="s">
        <v>21</v>
      </c>
      <c r="T87" s="15" t="s">
        <v>22</v>
      </c>
    </row>
    <row r="88" spans="1:20" s="12" customFormat="1" ht="30" customHeight="1" thickTop="1" thickBot="1" x14ac:dyDescent="0.4">
      <c r="A88" s="7">
        <v>1087</v>
      </c>
      <c r="B88" s="8">
        <v>45744</v>
      </c>
      <c r="C88" s="14" t="s">
        <v>28</v>
      </c>
      <c r="D88" s="14" t="s">
        <v>18</v>
      </c>
      <c r="E88" s="14" t="s">
        <v>19</v>
      </c>
      <c r="F88" s="14" t="s">
        <v>20</v>
      </c>
      <c r="G88" s="7">
        <v>6</v>
      </c>
      <c r="H88" s="7">
        <v>300</v>
      </c>
      <c r="I88" s="9">
        <v>0</v>
      </c>
      <c r="J88" s="10">
        <f>SALCE[[#This Row],[After_Discount]]*SALCE[[#This Row],[Tax_%]]/100</f>
        <v>2.5200000000000005</v>
      </c>
      <c r="K88" s="11">
        <v>0.14000000000000001</v>
      </c>
      <c r="L88" s="10">
        <f>SALCE[[#This Row],[Quantity]]*SALCE[[#This Row],[Unit_Price]]</f>
        <v>1800</v>
      </c>
      <c r="M88" s="10">
        <f>SALCE[[#This Row],[Gross_Sales]]*SALCE[[#This Row],[Discount_%]]/100</f>
        <v>0</v>
      </c>
      <c r="N88" s="10">
        <f>SALCE[[#This Row],[After_Discount]]+SALCE[[#This Row],[Tax_Value]]</f>
        <v>1802.52</v>
      </c>
      <c r="O88" s="10">
        <f>SALCE[[#This Row],[Gross_Sales]]*70%</f>
        <v>1260</v>
      </c>
      <c r="P88" s="10">
        <f>SALCE[[#This Row],[Net_Sales]]-SALCE[[#This Row],[Cost_Price]]</f>
        <v>542.52</v>
      </c>
      <c r="Q88" s="10">
        <f>SALCE[[#This Row],[Gross_Sales]]-SALCE[[#This Row],[Discount_Value]]</f>
        <v>1800</v>
      </c>
      <c r="R88" s="15" t="s">
        <v>58</v>
      </c>
      <c r="S88" s="15" t="s">
        <v>37</v>
      </c>
      <c r="T88" s="15" t="s">
        <v>22</v>
      </c>
    </row>
    <row r="89" spans="1:20" s="12" customFormat="1" ht="30" customHeight="1" thickTop="1" thickBot="1" x14ac:dyDescent="0.4">
      <c r="A89" s="7">
        <v>1088</v>
      </c>
      <c r="B89" s="8">
        <v>45745</v>
      </c>
      <c r="C89" s="14" t="s">
        <v>23</v>
      </c>
      <c r="D89" s="14" t="s">
        <v>18</v>
      </c>
      <c r="E89" s="14" t="s">
        <v>31</v>
      </c>
      <c r="F89" s="14" t="s">
        <v>32</v>
      </c>
      <c r="G89" s="7">
        <v>3</v>
      </c>
      <c r="H89" s="7">
        <v>15000</v>
      </c>
      <c r="I89" s="9">
        <v>5</v>
      </c>
      <c r="J89" s="10">
        <f>SALCE[[#This Row],[After_Discount]]*SALCE[[#This Row],[Tax_%]]/100</f>
        <v>59.850000000000009</v>
      </c>
      <c r="K89" s="11">
        <v>0.14000000000000001</v>
      </c>
      <c r="L89" s="10">
        <f>SALCE[[#This Row],[Quantity]]*SALCE[[#This Row],[Unit_Price]]</f>
        <v>45000</v>
      </c>
      <c r="M89" s="10">
        <f>SALCE[[#This Row],[Gross_Sales]]*SALCE[[#This Row],[Discount_%]]/100</f>
        <v>2250</v>
      </c>
      <c r="N89" s="10">
        <f>SALCE[[#This Row],[After_Discount]]+SALCE[[#This Row],[Tax_Value]]</f>
        <v>42809.85</v>
      </c>
      <c r="O89" s="10">
        <f>SALCE[[#This Row],[Gross_Sales]]*70%</f>
        <v>31499.999999999996</v>
      </c>
      <c r="P89" s="10">
        <f>SALCE[[#This Row],[Net_Sales]]-SALCE[[#This Row],[Cost_Price]]</f>
        <v>11309.850000000002</v>
      </c>
      <c r="Q89" s="10">
        <f>SALCE[[#This Row],[Gross_Sales]]-SALCE[[#This Row],[Discount_Value]]</f>
        <v>42750</v>
      </c>
      <c r="R89" s="15" t="s">
        <v>61</v>
      </c>
      <c r="S89" s="15" t="s">
        <v>26</v>
      </c>
      <c r="T89" s="15" t="s">
        <v>22</v>
      </c>
    </row>
    <row r="90" spans="1:20" s="12" customFormat="1" ht="30" customHeight="1" thickTop="1" thickBot="1" x14ac:dyDescent="0.4">
      <c r="A90" s="7">
        <v>1089</v>
      </c>
      <c r="B90" s="8">
        <v>45746</v>
      </c>
      <c r="C90" s="14" t="s">
        <v>17</v>
      </c>
      <c r="D90" s="14" t="s">
        <v>36</v>
      </c>
      <c r="E90" s="14" t="s">
        <v>31</v>
      </c>
      <c r="F90" s="14" t="s">
        <v>32</v>
      </c>
      <c r="G90" s="7">
        <v>3</v>
      </c>
      <c r="H90" s="7">
        <v>15000</v>
      </c>
      <c r="I90" s="9">
        <v>15</v>
      </c>
      <c r="J90" s="10">
        <f>SALCE[[#This Row],[After_Discount]]*SALCE[[#This Row],[Tax_%]]/100</f>
        <v>53.550000000000011</v>
      </c>
      <c r="K90" s="11">
        <v>0.14000000000000001</v>
      </c>
      <c r="L90" s="10">
        <f>SALCE[[#This Row],[Quantity]]*SALCE[[#This Row],[Unit_Price]]</f>
        <v>45000</v>
      </c>
      <c r="M90" s="10">
        <f>SALCE[[#This Row],[Gross_Sales]]*SALCE[[#This Row],[Discount_%]]/100</f>
        <v>6750</v>
      </c>
      <c r="N90" s="10">
        <f>SALCE[[#This Row],[After_Discount]]+SALCE[[#This Row],[Tax_Value]]</f>
        <v>38303.550000000003</v>
      </c>
      <c r="O90" s="10">
        <f>SALCE[[#This Row],[Gross_Sales]]*70%</f>
        <v>31499.999999999996</v>
      </c>
      <c r="P90" s="10">
        <f>SALCE[[#This Row],[Net_Sales]]-SALCE[[#This Row],[Cost_Price]]</f>
        <v>6803.5500000000065</v>
      </c>
      <c r="Q90" s="10">
        <f>SALCE[[#This Row],[Gross_Sales]]-SALCE[[#This Row],[Discount_Value]]</f>
        <v>38250</v>
      </c>
      <c r="R90" s="15" t="s">
        <v>54</v>
      </c>
      <c r="S90" s="15" t="s">
        <v>21</v>
      </c>
      <c r="T90" s="15" t="s">
        <v>22</v>
      </c>
    </row>
    <row r="91" spans="1:20" s="12" customFormat="1" ht="30" customHeight="1" thickTop="1" thickBot="1" x14ac:dyDescent="0.4">
      <c r="A91" s="7">
        <v>1090</v>
      </c>
      <c r="B91" s="8">
        <v>45747</v>
      </c>
      <c r="C91" s="14" t="s">
        <v>28</v>
      </c>
      <c r="D91" s="14" t="s">
        <v>36</v>
      </c>
      <c r="E91" s="14" t="s">
        <v>33</v>
      </c>
      <c r="F91" s="14" t="s">
        <v>32</v>
      </c>
      <c r="G91" s="7">
        <v>1</v>
      </c>
      <c r="H91" s="7">
        <v>6000</v>
      </c>
      <c r="I91" s="9">
        <v>5</v>
      </c>
      <c r="J91" s="10">
        <f>SALCE[[#This Row],[After_Discount]]*SALCE[[#This Row],[Tax_%]]/100</f>
        <v>7.9800000000000013</v>
      </c>
      <c r="K91" s="11">
        <v>0.14000000000000001</v>
      </c>
      <c r="L91" s="10">
        <f>SALCE[[#This Row],[Quantity]]*SALCE[[#This Row],[Unit_Price]]</f>
        <v>6000</v>
      </c>
      <c r="M91" s="10">
        <f>SALCE[[#This Row],[Gross_Sales]]*SALCE[[#This Row],[Discount_%]]/100</f>
        <v>300</v>
      </c>
      <c r="N91" s="10">
        <f>SALCE[[#This Row],[After_Discount]]+SALCE[[#This Row],[Tax_Value]]</f>
        <v>5707.98</v>
      </c>
      <c r="O91" s="10">
        <f>SALCE[[#This Row],[Gross_Sales]]*70%</f>
        <v>4200</v>
      </c>
      <c r="P91" s="10">
        <f>SALCE[[#This Row],[Net_Sales]]-SALCE[[#This Row],[Cost_Price]]</f>
        <v>1507.9799999999996</v>
      </c>
      <c r="Q91" s="10">
        <f>SALCE[[#This Row],[Gross_Sales]]-SALCE[[#This Row],[Discount_Value]]</f>
        <v>5700</v>
      </c>
      <c r="R91" s="15" t="s">
        <v>60</v>
      </c>
      <c r="S91" s="15" t="s">
        <v>26</v>
      </c>
      <c r="T91" s="15" t="s">
        <v>27</v>
      </c>
    </row>
    <row r="92" spans="1:20" s="12" customFormat="1" ht="30" customHeight="1" thickTop="1" thickBot="1" x14ac:dyDescent="0.4">
      <c r="A92" s="7">
        <v>1091</v>
      </c>
      <c r="B92" s="8">
        <v>45748</v>
      </c>
      <c r="C92" s="14" t="s">
        <v>35</v>
      </c>
      <c r="D92" s="14" t="s">
        <v>18</v>
      </c>
      <c r="E92" s="14" t="s">
        <v>19</v>
      </c>
      <c r="F92" s="14" t="s">
        <v>20</v>
      </c>
      <c r="G92" s="7">
        <v>4</v>
      </c>
      <c r="H92" s="7">
        <v>300</v>
      </c>
      <c r="I92" s="9">
        <v>10</v>
      </c>
      <c r="J92" s="10">
        <f>SALCE[[#This Row],[After_Discount]]*SALCE[[#This Row],[Tax_%]]/100</f>
        <v>1.5120000000000002</v>
      </c>
      <c r="K92" s="11">
        <v>0.14000000000000001</v>
      </c>
      <c r="L92" s="10">
        <f>SALCE[[#This Row],[Quantity]]*SALCE[[#This Row],[Unit_Price]]</f>
        <v>1200</v>
      </c>
      <c r="M92" s="10">
        <f>SALCE[[#This Row],[Gross_Sales]]*SALCE[[#This Row],[Discount_%]]/100</f>
        <v>120</v>
      </c>
      <c r="N92" s="10">
        <f>SALCE[[#This Row],[After_Discount]]+SALCE[[#This Row],[Tax_Value]]</f>
        <v>1081.5119999999999</v>
      </c>
      <c r="O92" s="10">
        <f>SALCE[[#This Row],[Gross_Sales]]*70%</f>
        <v>840</v>
      </c>
      <c r="P92" s="10">
        <f>SALCE[[#This Row],[Net_Sales]]-SALCE[[#This Row],[Cost_Price]]</f>
        <v>241.51199999999994</v>
      </c>
      <c r="Q92" s="10">
        <f>SALCE[[#This Row],[Gross_Sales]]-SALCE[[#This Row],[Discount_Value]]</f>
        <v>1080</v>
      </c>
      <c r="R92" s="15" t="s">
        <v>47</v>
      </c>
      <c r="S92" s="15" t="s">
        <v>26</v>
      </c>
      <c r="T92" s="15" t="s">
        <v>22</v>
      </c>
    </row>
    <row r="93" spans="1:20" s="12" customFormat="1" ht="30" customHeight="1" thickTop="1" thickBot="1" x14ac:dyDescent="0.4">
      <c r="A93" s="7">
        <v>1092</v>
      </c>
      <c r="B93" s="8">
        <v>45749</v>
      </c>
      <c r="C93" s="14" t="s">
        <v>28</v>
      </c>
      <c r="D93" s="14" t="s">
        <v>38</v>
      </c>
      <c r="E93" s="14" t="s">
        <v>34</v>
      </c>
      <c r="F93" s="14" t="s">
        <v>32</v>
      </c>
      <c r="G93" s="7">
        <v>3</v>
      </c>
      <c r="H93" s="7">
        <v>4000</v>
      </c>
      <c r="I93" s="9">
        <v>15</v>
      </c>
      <c r="J93" s="10">
        <f>SALCE[[#This Row],[After_Discount]]*SALCE[[#This Row],[Tax_%]]/100</f>
        <v>14.280000000000003</v>
      </c>
      <c r="K93" s="11">
        <v>0.14000000000000001</v>
      </c>
      <c r="L93" s="10">
        <f>SALCE[[#This Row],[Quantity]]*SALCE[[#This Row],[Unit_Price]]</f>
        <v>12000</v>
      </c>
      <c r="M93" s="10">
        <f>SALCE[[#This Row],[Gross_Sales]]*SALCE[[#This Row],[Discount_%]]/100</f>
        <v>1800</v>
      </c>
      <c r="N93" s="10">
        <f>SALCE[[#This Row],[After_Discount]]+SALCE[[#This Row],[Tax_Value]]</f>
        <v>10214.280000000001</v>
      </c>
      <c r="O93" s="10">
        <f>SALCE[[#This Row],[Gross_Sales]]*70%</f>
        <v>8400</v>
      </c>
      <c r="P93" s="10">
        <f>SALCE[[#This Row],[Net_Sales]]-SALCE[[#This Row],[Cost_Price]]</f>
        <v>1814.2800000000007</v>
      </c>
      <c r="Q93" s="10">
        <f>SALCE[[#This Row],[Gross_Sales]]-SALCE[[#This Row],[Discount_Value]]</f>
        <v>10200</v>
      </c>
      <c r="R93" s="15" t="s">
        <v>54</v>
      </c>
      <c r="S93" s="15" t="s">
        <v>26</v>
      </c>
      <c r="T93" s="15" t="s">
        <v>22</v>
      </c>
    </row>
    <row r="94" spans="1:20" s="12" customFormat="1" ht="30" customHeight="1" thickTop="1" thickBot="1" x14ac:dyDescent="0.4">
      <c r="A94" s="7">
        <v>1093</v>
      </c>
      <c r="B94" s="8">
        <v>45750</v>
      </c>
      <c r="C94" s="14" t="s">
        <v>17</v>
      </c>
      <c r="D94" s="14" t="s">
        <v>18</v>
      </c>
      <c r="E94" s="14" t="s">
        <v>25</v>
      </c>
      <c r="F94" s="14" t="s">
        <v>20</v>
      </c>
      <c r="G94" s="7">
        <v>3</v>
      </c>
      <c r="H94" s="7">
        <v>500</v>
      </c>
      <c r="I94" s="9">
        <v>5</v>
      </c>
      <c r="J94" s="10">
        <f>SALCE[[#This Row],[After_Discount]]*SALCE[[#This Row],[Tax_%]]/100</f>
        <v>1.9950000000000003</v>
      </c>
      <c r="K94" s="11">
        <v>0.14000000000000001</v>
      </c>
      <c r="L94" s="10">
        <f>SALCE[[#This Row],[Quantity]]*SALCE[[#This Row],[Unit_Price]]</f>
        <v>1500</v>
      </c>
      <c r="M94" s="10">
        <f>SALCE[[#This Row],[Gross_Sales]]*SALCE[[#This Row],[Discount_%]]/100</f>
        <v>75</v>
      </c>
      <c r="N94" s="10">
        <f>SALCE[[#This Row],[After_Discount]]+SALCE[[#This Row],[Tax_Value]]</f>
        <v>1426.9949999999999</v>
      </c>
      <c r="O94" s="10">
        <f>SALCE[[#This Row],[Gross_Sales]]*70%</f>
        <v>1050</v>
      </c>
      <c r="P94" s="10">
        <f>SALCE[[#This Row],[Net_Sales]]-SALCE[[#This Row],[Cost_Price]]</f>
        <v>376.99499999999989</v>
      </c>
      <c r="Q94" s="10">
        <f>SALCE[[#This Row],[Gross_Sales]]-SALCE[[#This Row],[Discount_Value]]</f>
        <v>1425</v>
      </c>
      <c r="R94" s="15" t="s">
        <v>53</v>
      </c>
      <c r="S94" s="15" t="s">
        <v>21</v>
      </c>
      <c r="T94" s="15" t="s">
        <v>27</v>
      </c>
    </row>
    <row r="95" spans="1:20" s="12" customFormat="1" ht="30" customHeight="1" thickTop="1" thickBot="1" x14ac:dyDescent="0.4">
      <c r="A95" s="7">
        <v>1094</v>
      </c>
      <c r="B95" s="8">
        <v>45751</v>
      </c>
      <c r="C95" s="14" t="s">
        <v>17</v>
      </c>
      <c r="D95" s="14" t="s">
        <v>38</v>
      </c>
      <c r="E95" s="14" t="s">
        <v>31</v>
      </c>
      <c r="F95" s="14" t="s">
        <v>32</v>
      </c>
      <c r="G95" s="7">
        <v>6</v>
      </c>
      <c r="H95" s="7">
        <v>15000</v>
      </c>
      <c r="I95" s="9">
        <v>5</v>
      </c>
      <c r="J95" s="10">
        <f>SALCE[[#This Row],[After_Discount]]*SALCE[[#This Row],[Tax_%]]/100</f>
        <v>119.70000000000002</v>
      </c>
      <c r="K95" s="11">
        <v>0.14000000000000001</v>
      </c>
      <c r="L95" s="10">
        <f>SALCE[[#This Row],[Quantity]]*SALCE[[#This Row],[Unit_Price]]</f>
        <v>90000</v>
      </c>
      <c r="M95" s="10">
        <f>SALCE[[#This Row],[Gross_Sales]]*SALCE[[#This Row],[Discount_%]]/100</f>
        <v>4500</v>
      </c>
      <c r="N95" s="10">
        <f>SALCE[[#This Row],[After_Discount]]+SALCE[[#This Row],[Tax_Value]]</f>
        <v>85619.7</v>
      </c>
      <c r="O95" s="10">
        <f>SALCE[[#This Row],[Gross_Sales]]*70%</f>
        <v>62999.999999999993</v>
      </c>
      <c r="P95" s="10">
        <f>SALCE[[#This Row],[Net_Sales]]-SALCE[[#This Row],[Cost_Price]]</f>
        <v>22619.700000000004</v>
      </c>
      <c r="Q95" s="10">
        <f>SALCE[[#This Row],[Gross_Sales]]-SALCE[[#This Row],[Discount_Value]]</f>
        <v>85500</v>
      </c>
      <c r="R95" s="15" t="s">
        <v>59</v>
      </c>
      <c r="S95" s="15" t="s">
        <v>26</v>
      </c>
      <c r="T95" s="15" t="s">
        <v>22</v>
      </c>
    </row>
    <row r="96" spans="1:20" s="12" customFormat="1" ht="30" customHeight="1" thickTop="1" thickBot="1" x14ac:dyDescent="0.4">
      <c r="A96" s="7">
        <v>1095</v>
      </c>
      <c r="B96" s="8">
        <v>45752</v>
      </c>
      <c r="C96" s="14" t="s">
        <v>23</v>
      </c>
      <c r="D96" s="14" t="s">
        <v>41</v>
      </c>
      <c r="E96" s="14" t="s">
        <v>31</v>
      </c>
      <c r="F96" s="14" t="s">
        <v>32</v>
      </c>
      <c r="G96" s="7">
        <v>5</v>
      </c>
      <c r="H96" s="7">
        <v>15000</v>
      </c>
      <c r="I96" s="9">
        <v>0</v>
      </c>
      <c r="J96" s="10">
        <f>SALCE[[#This Row],[After_Discount]]*SALCE[[#This Row],[Tax_%]]/100</f>
        <v>105.00000000000001</v>
      </c>
      <c r="K96" s="11">
        <v>0.14000000000000001</v>
      </c>
      <c r="L96" s="10">
        <f>SALCE[[#This Row],[Quantity]]*SALCE[[#This Row],[Unit_Price]]</f>
        <v>75000</v>
      </c>
      <c r="M96" s="10">
        <f>SALCE[[#This Row],[Gross_Sales]]*SALCE[[#This Row],[Discount_%]]/100</f>
        <v>0</v>
      </c>
      <c r="N96" s="10">
        <f>SALCE[[#This Row],[After_Discount]]+SALCE[[#This Row],[Tax_Value]]</f>
        <v>75105</v>
      </c>
      <c r="O96" s="10">
        <f>SALCE[[#This Row],[Gross_Sales]]*70%</f>
        <v>52500</v>
      </c>
      <c r="P96" s="10">
        <f>SALCE[[#This Row],[Net_Sales]]-SALCE[[#This Row],[Cost_Price]]</f>
        <v>22605</v>
      </c>
      <c r="Q96" s="10">
        <f>SALCE[[#This Row],[Gross_Sales]]-SALCE[[#This Row],[Discount_Value]]</f>
        <v>75000</v>
      </c>
      <c r="R96" s="15" t="s">
        <v>62</v>
      </c>
      <c r="S96" s="15" t="s">
        <v>37</v>
      </c>
      <c r="T96" s="15" t="s">
        <v>27</v>
      </c>
    </row>
    <row r="97" spans="1:20" s="12" customFormat="1" ht="30" customHeight="1" thickTop="1" thickBot="1" x14ac:dyDescent="0.4">
      <c r="A97" s="7">
        <v>1096</v>
      </c>
      <c r="B97" s="8">
        <v>45753</v>
      </c>
      <c r="C97" s="14" t="s">
        <v>17</v>
      </c>
      <c r="D97" s="14" t="s">
        <v>24</v>
      </c>
      <c r="E97" s="14" t="s">
        <v>33</v>
      </c>
      <c r="F97" s="14" t="s">
        <v>32</v>
      </c>
      <c r="G97" s="7">
        <v>4</v>
      </c>
      <c r="H97" s="7">
        <v>6000</v>
      </c>
      <c r="I97" s="9">
        <v>10</v>
      </c>
      <c r="J97" s="10">
        <f>SALCE[[#This Row],[After_Discount]]*SALCE[[#This Row],[Tax_%]]/100</f>
        <v>30.240000000000006</v>
      </c>
      <c r="K97" s="11">
        <v>0.14000000000000001</v>
      </c>
      <c r="L97" s="10">
        <f>SALCE[[#This Row],[Quantity]]*SALCE[[#This Row],[Unit_Price]]</f>
        <v>24000</v>
      </c>
      <c r="M97" s="10">
        <f>SALCE[[#This Row],[Gross_Sales]]*SALCE[[#This Row],[Discount_%]]/100</f>
        <v>2400</v>
      </c>
      <c r="N97" s="10">
        <f>SALCE[[#This Row],[After_Discount]]+SALCE[[#This Row],[Tax_Value]]</f>
        <v>21630.240000000002</v>
      </c>
      <c r="O97" s="10">
        <f>SALCE[[#This Row],[Gross_Sales]]*70%</f>
        <v>16800</v>
      </c>
      <c r="P97" s="10">
        <f>SALCE[[#This Row],[Net_Sales]]-SALCE[[#This Row],[Cost_Price]]</f>
        <v>4830.2400000000016</v>
      </c>
      <c r="Q97" s="10">
        <f>SALCE[[#This Row],[Gross_Sales]]-SALCE[[#This Row],[Discount_Value]]</f>
        <v>21600</v>
      </c>
      <c r="R97" s="15" t="s">
        <v>57</v>
      </c>
      <c r="S97" s="15" t="s">
        <v>26</v>
      </c>
      <c r="T97" s="15" t="s">
        <v>22</v>
      </c>
    </row>
    <row r="98" spans="1:20" s="12" customFormat="1" ht="30" customHeight="1" thickTop="1" thickBot="1" x14ac:dyDescent="0.4">
      <c r="A98" s="7">
        <v>1097</v>
      </c>
      <c r="B98" s="8">
        <v>45754</v>
      </c>
      <c r="C98" s="14" t="s">
        <v>17</v>
      </c>
      <c r="D98" s="14" t="s">
        <v>29</v>
      </c>
      <c r="E98" s="14" t="s">
        <v>19</v>
      </c>
      <c r="F98" s="14" t="s">
        <v>20</v>
      </c>
      <c r="G98" s="7">
        <v>4</v>
      </c>
      <c r="H98" s="7">
        <v>300</v>
      </c>
      <c r="I98" s="9">
        <v>15</v>
      </c>
      <c r="J98" s="10">
        <f>SALCE[[#This Row],[After_Discount]]*SALCE[[#This Row],[Tax_%]]/100</f>
        <v>1.4280000000000002</v>
      </c>
      <c r="K98" s="11">
        <v>0.14000000000000001</v>
      </c>
      <c r="L98" s="10">
        <f>SALCE[[#This Row],[Quantity]]*SALCE[[#This Row],[Unit_Price]]</f>
        <v>1200</v>
      </c>
      <c r="M98" s="10">
        <f>SALCE[[#This Row],[Gross_Sales]]*SALCE[[#This Row],[Discount_%]]/100</f>
        <v>180</v>
      </c>
      <c r="N98" s="10">
        <f>SALCE[[#This Row],[After_Discount]]+SALCE[[#This Row],[Tax_Value]]</f>
        <v>1021.428</v>
      </c>
      <c r="O98" s="10">
        <f>SALCE[[#This Row],[Gross_Sales]]*70%</f>
        <v>840</v>
      </c>
      <c r="P98" s="10">
        <f>SALCE[[#This Row],[Net_Sales]]-SALCE[[#This Row],[Cost_Price]]</f>
        <v>181.428</v>
      </c>
      <c r="Q98" s="10">
        <f>SALCE[[#This Row],[Gross_Sales]]-SALCE[[#This Row],[Discount_Value]]</f>
        <v>1020</v>
      </c>
      <c r="R98" s="15" t="s">
        <v>62</v>
      </c>
      <c r="S98" s="15" t="s">
        <v>26</v>
      </c>
      <c r="T98" s="15" t="s">
        <v>27</v>
      </c>
    </row>
    <row r="99" spans="1:20" s="12" customFormat="1" ht="30" customHeight="1" thickTop="1" thickBot="1" x14ac:dyDescent="0.4">
      <c r="A99" s="7">
        <v>1098</v>
      </c>
      <c r="B99" s="8">
        <v>45755</v>
      </c>
      <c r="C99" s="14" t="s">
        <v>35</v>
      </c>
      <c r="D99" s="14" t="s">
        <v>18</v>
      </c>
      <c r="E99" s="14" t="s">
        <v>25</v>
      </c>
      <c r="F99" s="14" t="s">
        <v>20</v>
      </c>
      <c r="G99" s="7">
        <v>2</v>
      </c>
      <c r="H99" s="7">
        <v>500</v>
      </c>
      <c r="I99" s="9">
        <v>15</v>
      </c>
      <c r="J99" s="10">
        <f>SALCE[[#This Row],[After_Discount]]*SALCE[[#This Row],[Tax_%]]/100</f>
        <v>1.1900000000000002</v>
      </c>
      <c r="K99" s="11">
        <v>0.14000000000000001</v>
      </c>
      <c r="L99" s="10">
        <f>SALCE[[#This Row],[Quantity]]*SALCE[[#This Row],[Unit_Price]]</f>
        <v>1000</v>
      </c>
      <c r="M99" s="10">
        <f>SALCE[[#This Row],[Gross_Sales]]*SALCE[[#This Row],[Discount_%]]/100</f>
        <v>150</v>
      </c>
      <c r="N99" s="10">
        <f>SALCE[[#This Row],[After_Discount]]+SALCE[[#This Row],[Tax_Value]]</f>
        <v>851.19</v>
      </c>
      <c r="O99" s="10">
        <f>SALCE[[#This Row],[Gross_Sales]]*70%</f>
        <v>700</v>
      </c>
      <c r="P99" s="10">
        <f>SALCE[[#This Row],[Net_Sales]]-SALCE[[#This Row],[Cost_Price]]</f>
        <v>151.19000000000005</v>
      </c>
      <c r="Q99" s="10">
        <f>SALCE[[#This Row],[Gross_Sales]]-SALCE[[#This Row],[Discount_Value]]</f>
        <v>850</v>
      </c>
      <c r="R99" s="15" t="s">
        <v>50</v>
      </c>
      <c r="S99" s="15" t="s">
        <v>21</v>
      </c>
      <c r="T99" s="15" t="s">
        <v>22</v>
      </c>
    </row>
    <row r="100" spans="1:20" s="12" customFormat="1" ht="30" customHeight="1" thickTop="1" thickBot="1" x14ac:dyDescent="0.4">
      <c r="A100" s="7">
        <v>1099</v>
      </c>
      <c r="B100" s="8">
        <v>45756</v>
      </c>
      <c r="C100" s="14" t="s">
        <v>39</v>
      </c>
      <c r="D100" s="14" t="s">
        <v>18</v>
      </c>
      <c r="E100" s="14" t="s">
        <v>19</v>
      </c>
      <c r="F100" s="14" t="s">
        <v>20</v>
      </c>
      <c r="G100" s="7">
        <v>10</v>
      </c>
      <c r="H100" s="7">
        <v>300</v>
      </c>
      <c r="I100" s="9">
        <v>5</v>
      </c>
      <c r="J100" s="10">
        <f>SALCE[[#This Row],[After_Discount]]*SALCE[[#This Row],[Tax_%]]/100</f>
        <v>3.9900000000000007</v>
      </c>
      <c r="K100" s="11">
        <v>0.14000000000000001</v>
      </c>
      <c r="L100" s="10">
        <f>SALCE[[#This Row],[Quantity]]*SALCE[[#This Row],[Unit_Price]]</f>
        <v>3000</v>
      </c>
      <c r="M100" s="10">
        <f>SALCE[[#This Row],[Gross_Sales]]*SALCE[[#This Row],[Discount_%]]/100</f>
        <v>150</v>
      </c>
      <c r="N100" s="10">
        <f>SALCE[[#This Row],[After_Discount]]+SALCE[[#This Row],[Tax_Value]]</f>
        <v>2853.99</v>
      </c>
      <c r="O100" s="10">
        <f>SALCE[[#This Row],[Gross_Sales]]*70%</f>
        <v>2100</v>
      </c>
      <c r="P100" s="10">
        <f>SALCE[[#This Row],[Net_Sales]]-SALCE[[#This Row],[Cost_Price]]</f>
        <v>753.98999999999978</v>
      </c>
      <c r="Q100" s="10">
        <f>SALCE[[#This Row],[Gross_Sales]]-SALCE[[#This Row],[Discount_Value]]</f>
        <v>2850</v>
      </c>
      <c r="R100" s="15" t="s">
        <v>49</v>
      </c>
      <c r="S100" s="15" t="s">
        <v>37</v>
      </c>
      <c r="T100" s="15" t="s">
        <v>22</v>
      </c>
    </row>
    <row r="101" spans="1:20" s="12" customFormat="1" ht="30" customHeight="1" thickTop="1" thickBot="1" x14ac:dyDescent="0.4">
      <c r="A101" s="7">
        <v>1100</v>
      </c>
      <c r="B101" s="8">
        <v>45757</v>
      </c>
      <c r="C101" s="14" t="s">
        <v>17</v>
      </c>
      <c r="D101" s="14" t="s">
        <v>41</v>
      </c>
      <c r="E101" s="14" t="s">
        <v>25</v>
      </c>
      <c r="F101" s="14" t="s">
        <v>20</v>
      </c>
      <c r="G101" s="7">
        <v>5</v>
      </c>
      <c r="H101" s="7">
        <v>500</v>
      </c>
      <c r="I101" s="9">
        <v>10</v>
      </c>
      <c r="J101" s="10">
        <f>SALCE[[#This Row],[After_Discount]]*SALCE[[#This Row],[Tax_%]]/100</f>
        <v>3.1500000000000004</v>
      </c>
      <c r="K101" s="11">
        <v>0.14000000000000001</v>
      </c>
      <c r="L101" s="10">
        <f>SALCE[[#This Row],[Quantity]]*SALCE[[#This Row],[Unit_Price]]</f>
        <v>2500</v>
      </c>
      <c r="M101" s="10">
        <f>SALCE[[#This Row],[Gross_Sales]]*SALCE[[#This Row],[Discount_%]]/100</f>
        <v>250</v>
      </c>
      <c r="N101" s="10">
        <f>SALCE[[#This Row],[After_Discount]]+SALCE[[#This Row],[Tax_Value]]</f>
        <v>2253.15</v>
      </c>
      <c r="O101" s="10">
        <f>SALCE[[#This Row],[Gross_Sales]]*70%</f>
        <v>1750</v>
      </c>
      <c r="P101" s="10">
        <f>SALCE[[#This Row],[Net_Sales]]-SALCE[[#This Row],[Cost_Price]]</f>
        <v>503.15000000000009</v>
      </c>
      <c r="Q101" s="10">
        <f>SALCE[[#This Row],[Gross_Sales]]-SALCE[[#This Row],[Discount_Value]]</f>
        <v>2250</v>
      </c>
      <c r="R101" s="15" t="s">
        <v>53</v>
      </c>
      <c r="S101" s="15" t="s">
        <v>21</v>
      </c>
      <c r="T101" s="15" t="s">
        <v>22</v>
      </c>
    </row>
    <row r="102" spans="1:20" s="12" customFormat="1" ht="30" customHeight="1" thickTop="1" thickBot="1" x14ac:dyDescent="0.4">
      <c r="A102" s="7">
        <v>1101</v>
      </c>
      <c r="B102" s="8">
        <v>45758</v>
      </c>
      <c r="C102" s="14" t="s">
        <v>30</v>
      </c>
      <c r="D102" s="14" t="s">
        <v>24</v>
      </c>
      <c r="E102" s="14" t="s">
        <v>25</v>
      </c>
      <c r="F102" s="14" t="s">
        <v>20</v>
      </c>
      <c r="G102" s="7">
        <v>8</v>
      </c>
      <c r="H102" s="7">
        <v>500</v>
      </c>
      <c r="I102" s="9">
        <v>10</v>
      </c>
      <c r="J102" s="10">
        <f>SALCE[[#This Row],[After_Discount]]*SALCE[[#This Row],[Tax_%]]/100</f>
        <v>5.0400000000000009</v>
      </c>
      <c r="K102" s="11">
        <v>0.14000000000000001</v>
      </c>
      <c r="L102" s="10">
        <f>SALCE[[#This Row],[Quantity]]*SALCE[[#This Row],[Unit_Price]]</f>
        <v>4000</v>
      </c>
      <c r="M102" s="10">
        <f>SALCE[[#This Row],[Gross_Sales]]*SALCE[[#This Row],[Discount_%]]/100</f>
        <v>400</v>
      </c>
      <c r="N102" s="10">
        <f>SALCE[[#This Row],[After_Discount]]+SALCE[[#This Row],[Tax_Value]]</f>
        <v>3605.04</v>
      </c>
      <c r="O102" s="10">
        <f>SALCE[[#This Row],[Gross_Sales]]*70%</f>
        <v>2800</v>
      </c>
      <c r="P102" s="10">
        <f>SALCE[[#This Row],[Net_Sales]]-SALCE[[#This Row],[Cost_Price]]</f>
        <v>805.04</v>
      </c>
      <c r="Q102" s="10">
        <f>SALCE[[#This Row],[Gross_Sales]]-SALCE[[#This Row],[Discount_Value]]</f>
        <v>3600</v>
      </c>
      <c r="R102" s="15" t="s">
        <v>53</v>
      </c>
      <c r="S102" s="15" t="s">
        <v>26</v>
      </c>
      <c r="T102" s="15" t="s">
        <v>22</v>
      </c>
    </row>
    <row r="103" spans="1:20" s="12" customFormat="1" ht="30" customHeight="1" thickTop="1" thickBot="1" x14ac:dyDescent="0.4">
      <c r="A103" s="7">
        <v>1102</v>
      </c>
      <c r="B103" s="8">
        <v>45759</v>
      </c>
      <c r="C103" s="14" t="s">
        <v>23</v>
      </c>
      <c r="D103" s="14" t="s">
        <v>29</v>
      </c>
      <c r="E103" s="14" t="s">
        <v>19</v>
      </c>
      <c r="F103" s="14" t="s">
        <v>20</v>
      </c>
      <c r="G103" s="7">
        <v>1</v>
      </c>
      <c r="H103" s="7">
        <v>300</v>
      </c>
      <c r="I103" s="9">
        <v>15</v>
      </c>
      <c r="J103" s="10">
        <f>SALCE[[#This Row],[After_Discount]]*SALCE[[#This Row],[Tax_%]]/100</f>
        <v>0.35700000000000004</v>
      </c>
      <c r="K103" s="11">
        <v>0.14000000000000001</v>
      </c>
      <c r="L103" s="10">
        <f>SALCE[[#This Row],[Quantity]]*SALCE[[#This Row],[Unit_Price]]</f>
        <v>300</v>
      </c>
      <c r="M103" s="10">
        <f>SALCE[[#This Row],[Gross_Sales]]*SALCE[[#This Row],[Discount_%]]/100</f>
        <v>45</v>
      </c>
      <c r="N103" s="10">
        <f>SALCE[[#This Row],[After_Discount]]+SALCE[[#This Row],[Tax_Value]]</f>
        <v>255.357</v>
      </c>
      <c r="O103" s="10">
        <f>SALCE[[#This Row],[Gross_Sales]]*70%</f>
        <v>210</v>
      </c>
      <c r="P103" s="10">
        <f>SALCE[[#This Row],[Net_Sales]]-SALCE[[#This Row],[Cost_Price]]</f>
        <v>45.356999999999999</v>
      </c>
      <c r="Q103" s="10">
        <f>SALCE[[#This Row],[Gross_Sales]]-SALCE[[#This Row],[Discount_Value]]</f>
        <v>255</v>
      </c>
      <c r="R103" s="15" t="s">
        <v>50</v>
      </c>
      <c r="S103" s="15" t="s">
        <v>21</v>
      </c>
      <c r="T103" s="15" t="s">
        <v>22</v>
      </c>
    </row>
    <row r="104" spans="1:20" s="12" customFormat="1" ht="30" customHeight="1" thickTop="1" thickBot="1" x14ac:dyDescent="0.4">
      <c r="A104" s="7">
        <v>1103</v>
      </c>
      <c r="B104" s="8">
        <v>45760</v>
      </c>
      <c r="C104" s="14" t="s">
        <v>39</v>
      </c>
      <c r="D104" s="14" t="s">
        <v>41</v>
      </c>
      <c r="E104" s="14" t="s">
        <v>31</v>
      </c>
      <c r="F104" s="14" t="s">
        <v>32</v>
      </c>
      <c r="G104" s="7">
        <v>7</v>
      </c>
      <c r="H104" s="7">
        <v>15000</v>
      </c>
      <c r="I104" s="9">
        <v>5</v>
      </c>
      <c r="J104" s="10">
        <f>SALCE[[#This Row],[After_Discount]]*SALCE[[#This Row],[Tax_%]]/100</f>
        <v>139.65</v>
      </c>
      <c r="K104" s="11">
        <v>0.14000000000000001</v>
      </c>
      <c r="L104" s="10">
        <f>SALCE[[#This Row],[Quantity]]*SALCE[[#This Row],[Unit_Price]]</f>
        <v>105000</v>
      </c>
      <c r="M104" s="10">
        <f>SALCE[[#This Row],[Gross_Sales]]*SALCE[[#This Row],[Discount_%]]/100</f>
        <v>5250</v>
      </c>
      <c r="N104" s="10">
        <f>SALCE[[#This Row],[After_Discount]]+SALCE[[#This Row],[Tax_Value]]</f>
        <v>99889.65</v>
      </c>
      <c r="O104" s="10">
        <f>SALCE[[#This Row],[Gross_Sales]]*70%</f>
        <v>73500</v>
      </c>
      <c r="P104" s="10">
        <f>SALCE[[#This Row],[Net_Sales]]-SALCE[[#This Row],[Cost_Price]]</f>
        <v>26389.649999999994</v>
      </c>
      <c r="Q104" s="10">
        <f>SALCE[[#This Row],[Gross_Sales]]-SALCE[[#This Row],[Discount_Value]]</f>
        <v>99750</v>
      </c>
      <c r="R104" s="15" t="s">
        <v>49</v>
      </c>
      <c r="S104" s="15" t="s">
        <v>37</v>
      </c>
      <c r="T104" s="15" t="s">
        <v>27</v>
      </c>
    </row>
    <row r="105" spans="1:20" s="12" customFormat="1" ht="30" customHeight="1" thickTop="1" thickBot="1" x14ac:dyDescent="0.4">
      <c r="A105" s="7">
        <v>1104</v>
      </c>
      <c r="B105" s="8">
        <v>45761</v>
      </c>
      <c r="C105" s="14" t="s">
        <v>17</v>
      </c>
      <c r="D105" s="14" t="s">
        <v>18</v>
      </c>
      <c r="E105" s="14" t="s">
        <v>31</v>
      </c>
      <c r="F105" s="14" t="s">
        <v>32</v>
      </c>
      <c r="G105" s="7">
        <v>3</v>
      </c>
      <c r="H105" s="7">
        <v>15000</v>
      </c>
      <c r="I105" s="9">
        <v>5</v>
      </c>
      <c r="J105" s="10">
        <f>SALCE[[#This Row],[After_Discount]]*SALCE[[#This Row],[Tax_%]]/100</f>
        <v>59.850000000000009</v>
      </c>
      <c r="K105" s="11">
        <v>0.14000000000000001</v>
      </c>
      <c r="L105" s="10">
        <f>SALCE[[#This Row],[Quantity]]*SALCE[[#This Row],[Unit_Price]]</f>
        <v>45000</v>
      </c>
      <c r="M105" s="10">
        <f>SALCE[[#This Row],[Gross_Sales]]*SALCE[[#This Row],[Discount_%]]/100</f>
        <v>2250</v>
      </c>
      <c r="N105" s="10">
        <f>SALCE[[#This Row],[After_Discount]]+SALCE[[#This Row],[Tax_Value]]</f>
        <v>42809.85</v>
      </c>
      <c r="O105" s="10">
        <f>SALCE[[#This Row],[Gross_Sales]]*70%</f>
        <v>31499.999999999996</v>
      </c>
      <c r="P105" s="10">
        <f>SALCE[[#This Row],[Net_Sales]]-SALCE[[#This Row],[Cost_Price]]</f>
        <v>11309.850000000002</v>
      </c>
      <c r="Q105" s="10">
        <f>SALCE[[#This Row],[Gross_Sales]]-SALCE[[#This Row],[Discount_Value]]</f>
        <v>42750</v>
      </c>
      <c r="R105" s="15" t="s">
        <v>52</v>
      </c>
      <c r="S105" s="15" t="s">
        <v>21</v>
      </c>
      <c r="T105" s="15" t="s">
        <v>27</v>
      </c>
    </row>
    <row r="106" spans="1:20" s="12" customFormat="1" ht="30" customHeight="1" thickTop="1" thickBot="1" x14ac:dyDescent="0.4">
      <c r="A106" s="7">
        <v>1105</v>
      </c>
      <c r="B106" s="8">
        <v>45762</v>
      </c>
      <c r="C106" s="14" t="s">
        <v>23</v>
      </c>
      <c r="D106" s="14" t="s">
        <v>24</v>
      </c>
      <c r="E106" s="14" t="s">
        <v>40</v>
      </c>
      <c r="F106" s="14" t="s">
        <v>20</v>
      </c>
      <c r="G106" s="7">
        <v>9</v>
      </c>
      <c r="H106" s="7">
        <v>800</v>
      </c>
      <c r="I106" s="9">
        <v>10</v>
      </c>
      <c r="J106" s="10">
        <f>SALCE[[#This Row],[After_Discount]]*SALCE[[#This Row],[Tax_%]]/100</f>
        <v>9.072000000000001</v>
      </c>
      <c r="K106" s="11">
        <v>0.14000000000000001</v>
      </c>
      <c r="L106" s="10">
        <f>SALCE[[#This Row],[Quantity]]*SALCE[[#This Row],[Unit_Price]]</f>
        <v>7200</v>
      </c>
      <c r="M106" s="10">
        <f>SALCE[[#This Row],[Gross_Sales]]*SALCE[[#This Row],[Discount_%]]/100</f>
        <v>720</v>
      </c>
      <c r="N106" s="10">
        <f>SALCE[[#This Row],[After_Discount]]+SALCE[[#This Row],[Tax_Value]]</f>
        <v>6489.0720000000001</v>
      </c>
      <c r="O106" s="10">
        <f>SALCE[[#This Row],[Gross_Sales]]*70%</f>
        <v>5040</v>
      </c>
      <c r="P106" s="10">
        <f>SALCE[[#This Row],[Net_Sales]]-SALCE[[#This Row],[Cost_Price]]</f>
        <v>1449.0720000000001</v>
      </c>
      <c r="Q106" s="10">
        <f>SALCE[[#This Row],[Gross_Sales]]-SALCE[[#This Row],[Discount_Value]]</f>
        <v>6480</v>
      </c>
      <c r="R106" s="15" t="s">
        <v>52</v>
      </c>
      <c r="S106" s="15" t="s">
        <v>21</v>
      </c>
      <c r="T106" s="15" t="s">
        <v>22</v>
      </c>
    </row>
    <row r="107" spans="1:20" s="12" customFormat="1" ht="30" customHeight="1" thickTop="1" thickBot="1" x14ac:dyDescent="0.4">
      <c r="A107" s="7">
        <v>1106</v>
      </c>
      <c r="B107" s="8">
        <v>45763</v>
      </c>
      <c r="C107" s="14" t="s">
        <v>35</v>
      </c>
      <c r="D107" s="14" t="s">
        <v>18</v>
      </c>
      <c r="E107" s="14" t="s">
        <v>34</v>
      </c>
      <c r="F107" s="14" t="s">
        <v>32</v>
      </c>
      <c r="G107" s="7">
        <v>6</v>
      </c>
      <c r="H107" s="7">
        <v>4000</v>
      </c>
      <c r="I107" s="9">
        <v>15</v>
      </c>
      <c r="J107" s="10">
        <f>SALCE[[#This Row],[After_Discount]]*SALCE[[#This Row],[Tax_%]]/100</f>
        <v>28.560000000000006</v>
      </c>
      <c r="K107" s="11">
        <v>0.14000000000000001</v>
      </c>
      <c r="L107" s="10">
        <f>SALCE[[#This Row],[Quantity]]*SALCE[[#This Row],[Unit_Price]]</f>
        <v>24000</v>
      </c>
      <c r="M107" s="10">
        <f>SALCE[[#This Row],[Gross_Sales]]*SALCE[[#This Row],[Discount_%]]/100</f>
        <v>3600</v>
      </c>
      <c r="N107" s="10">
        <f>SALCE[[#This Row],[After_Discount]]+SALCE[[#This Row],[Tax_Value]]</f>
        <v>20428.560000000001</v>
      </c>
      <c r="O107" s="10">
        <f>SALCE[[#This Row],[Gross_Sales]]*70%</f>
        <v>16800</v>
      </c>
      <c r="P107" s="10">
        <f>SALCE[[#This Row],[Net_Sales]]-SALCE[[#This Row],[Cost_Price]]</f>
        <v>3628.5600000000013</v>
      </c>
      <c r="Q107" s="10">
        <f>SALCE[[#This Row],[Gross_Sales]]-SALCE[[#This Row],[Discount_Value]]</f>
        <v>20400</v>
      </c>
      <c r="R107" s="15" t="s">
        <v>49</v>
      </c>
      <c r="S107" s="15" t="s">
        <v>26</v>
      </c>
      <c r="T107" s="15" t="s">
        <v>27</v>
      </c>
    </row>
    <row r="108" spans="1:20" s="12" customFormat="1" ht="30" customHeight="1" thickTop="1" thickBot="1" x14ac:dyDescent="0.4">
      <c r="A108" s="7">
        <v>1107</v>
      </c>
      <c r="B108" s="8">
        <v>45764</v>
      </c>
      <c r="C108" s="14" t="s">
        <v>23</v>
      </c>
      <c r="D108" s="14" t="s">
        <v>41</v>
      </c>
      <c r="E108" s="14" t="s">
        <v>25</v>
      </c>
      <c r="F108" s="14" t="s">
        <v>20</v>
      </c>
      <c r="G108" s="7">
        <v>9</v>
      </c>
      <c r="H108" s="7">
        <v>500</v>
      </c>
      <c r="I108" s="9">
        <v>5</v>
      </c>
      <c r="J108" s="10">
        <f>SALCE[[#This Row],[After_Discount]]*SALCE[[#This Row],[Tax_%]]/100</f>
        <v>5.9850000000000012</v>
      </c>
      <c r="K108" s="11">
        <v>0.14000000000000001</v>
      </c>
      <c r="L108" s="10">
        <f>SALCE[[#This Row],[Quantity]]*SALCE[[#This Row],[Unit_Price]]</f>
        <v>4500</v>
      </c>
      <c r="M108" s="10">
        <f>SALCE[[#This Row],[Gross_Sales]]*SALCE[[#This Row],[Discount_%]]/100</f>
        <v>225</v>
      </c>
      <c r="N108" s="10">
        <f>SALCE[[#This Row],[After_Discount]]+SALCE[[#This Row],[Tax_Value]]</f>
        <v>4280.9849999999997</v>
      </c>
      <c r="O108" s="10">
        <f>SALCE[[#This Row],[Gross_Sales]]*70%</f>
        <v>3150</v>
      </c>
      <c r="P108" s="10">
        <f>SALCE[[#This Row],[Net_Sales]]-SALCE[[#This Row],[Cost_Price]]</f>
        <v>1130.9849999999997</v>
      </c>
      <c r="Q108" s="10">
        <f>SALCE[[#This Row],[Gross_Sales]]-SALCE[[#This Row],[Discount_Value]]</f>
        <v>4275</v>
      </c>
      <c r="R108" s="15" t="s">
        <v>56</v>
      </c>
      <c r="S108" s="15" t="s">
        <v>37</v>
      </c>
      <c r="T108" s="15" t="s">
        <v>22</v>
      </c>
    </row>
    <row r="109" spans="1:20" s="12" customFormat="1" ht="30" customHeight="1" thickTop="1" thickBot="1" x14ac:dyDescent="0.4">
      <c r="A109" s="7">
        <v>1108</v>
      </c>
      <c r="B109" s="8">
        <v>45765</v>
      </c>
      <c r="C109" s="14" t="s">
        <v>30</v>
      </c>
      <c r="D109" s="14" t="s">
        <v>41</v>
      </c>
      <c r="E109" s="14" t="s">
        <v>31</v>
      </c>
      <c r="F109" s="14" t="s">
        <v>32</v>
      </c>
      <c r="G109" s="7">
        <v>10</v>
      </c>
      <c r="H109" s="7">
        <v>15000</v>
      </c>
      <c r="I109" s="9">
        <v>10</v>
      </c>
      <c r="J109" s="10">
        <f>SALCE[[#This Row],[After_Discount]]*SALCE[[#This Row],[Tax_%]]/100</f>
        <v>189</v>
      </c>
      <c r="K109" s="11">
        <v>0.14000000000000001</v>
      </c>
      <c r="L109" s="10">
        <f>SALCE[[#This Row],[Quantity]]*SALCE[[#This Row],[Unit_Price]]</f>
        <v>150000</v>
      </c>
      <c r="M109" s="10">
        <f>SALCE[[#This Row],[Gross_Sales]]*SALCE[[#This Row],[Discount_%]]/100</f>
        <v>15000</v>
      </c>
      <c r="N109" s="10">
        <f>SALCE[[#This Row],[After_Discount]]+SALCE[[#This Row],[Tax_Value]]</f>
        <v>135189</v>
      </c>
      <c r="O109" s="10">
        <f>SALCE[[#This Row],[Gross_Sales]]*70%</f>
        <v>105000</v>
      </c>
      <c r="P109" s="10">
        <f>SALCE[[#This Row],[Net_Sales]]-SALCE[[#This Row],[Cost_Price]]</f>
        <v>30189</v>
      </c>
      <c r="Q109" s="10">
        <f>SALCE[[#This Row],[Gross_Sales]]-SALCE[[#This Row],[Discount_Value]]</f>
        <v>135000</v>
      </c>
      <c r="R109" s="15" t="s">
        <v>47</v>
      </c>
      <c r="S109" s="15" t="s">
        <v>37</v>
      </c>
      <c r="T109" s="15" t="s">
        <v>22</v>
      </c>
    </row>
    <row r="110" spans="1:20" s="12" customFormat="1" ht="30" customHeight="1" thickTop="1" thickBot="1" x14ac:dyDescent="0.4">
      <c r="A110" s="7">
        <v>1109</v>
      </c>
      <c r="B110" s="8">
        <v>45766</v>
      </c>
      <c r="C110" s="14" t="s">
        <v>28</v>
      </c>
      <c r="D110" s="14" t="s">
        <v>41</v>
      </c>
      <c r="E110" s="14" t="s">
        <v>33</v>
      </c>
      <c r="F110" s="14" t="s">
        <v>32</v>
      </c>
      <c r="G110" s="7">
        <v>7</v>
      </c>
      <c r="H110" s="7">
        <v>6000</v>
      </c>
      <c r="I110" s="9">
        <v>0</v>
      </c>
      <c r="J110" s="10">
        <f>SALCE[[#This Row],[After_Discount]]*SALCE[[#This Row],[Tax_%]]/100</f>
        <v>58.800000000000011</v>
      </c>
      <c r="K110" s="11">
        <v>0.14000000000000001</v>
      </c>
      <c r="L110" s="10">
        <f>SALCE[[#This Row],[Quantity]]*SALCE[[#This Row],[Unit_Price]]</f>
        <v>42000</v>
      </c>
      <c r="M110" s="10">
        <f>SALCE[[#This Row],[Gross_Sales]]*SALCE[[#This Row],[Discount_%]]/100</f>
        <v>0</v>
      </c>
      <c r="N110" s="10">
        <f>SALCE[[#This Row],[After_Discount]]+SALCE[[#This Row],[Tax_Value]]</f>
        <v>42058.8</v>
      </c>
      <c r="O110" s="10">
        <f>SALCE[[#This Row],[Gross_Sales]]*70%</f>
        <v>29399.999999999996</v>
      </c>
      <c r="P110" s="10">
        <f>SALCE[[#This Row],[Net_Sales]]-SALCE[[#This Row],[Cost_Price]]</f>
        <v>12658.800000000007</v>
      </c>
      <c r="Q110" s="10">
        <f>SALCE[[#This Row],[Gross_Sales]]-SALCE[[#This Row],[Discount_Value]]</f>
        <v>42000</v>
      </c>
      <c r="R110" s="15" t="s">
        <v>61</v>
      </c>
      <c r="S110" s="15" t="s">
        <v>21</v>
      </c>
      <c r="T110" s="15" t="s">
        <v>22</v>
      </c>
    </row>
    <row r="111" spans="1:20" s="12" customFormat="1" ht="30" customHeight="1" thickTop="1" thickBot="1" x14ac:dyDescent="0.4">
      <c r="A111" s="7">
        <v>1110</v>
      </c>
      <c r="B111" s="8">
        <v>45767</v>
      </c>
      <c r="C111" s="14" t="s">
        <v>35</v>
      </c>
      <c r="D111" s="14" t="s">
        <v>38</v>
      </c>
      <c r="E111" s="14" t="s">
        <v>40</v>
      </c>
      <c r="F111" s="14" t="s">
        <v>20</v>
      </c>
      <c r="G111" s="7">
        <v>9</v>
      </c>
      <c r="H111" s="7">
        <v>800</v>
      </c>
      <c r="I111" s="9">
        <v>0</v>
      </c>
      <c r="J111" s="10">
        <f>SALCE[[#This Row],[After_Discount]]*SALCE[[#This Row],[Tax_%]]/100</f>
        <v>10.080000000000002</v>
      </c>
      <c r="K111" s="11">
        <v>0.14000000000000001</v>
      </c>
      <c r="L111" s="10">
        <f>SALCE[[#This Row],[Quantity]]*SALCE[[#This Row],[Unit_Price]]</f>
        <v>7200</v>
      </c>
      <c r="M111" s="10">
        <f>SALCE[[#This Row],[Gross_Sales]]*SALCE[[#This Row],[Discount_%]]/100</f>
        <v>0</v>
      </c>
      <c r="N111" s="10">
        <f>SALCE[[#This Row],[After_Discount]]+SALCE[[#This Row],[Tax_Value]]</f>
        <v>7210.08</v>
      </c>
      <c r="O111" s="10">
        <f>SALCE[[#This Row],[Gross_Sales]]*70%</f>
        <v>5040</v>
      </c>
      <c r="P111" s="10">
        <f>SALCE[[#This Row],[Net_Sales]]-SALCE[[#This Row],[Cost_Price]]</f>
        <v>2170.08</v>
      </c>
      <c r="Q111" s="10">
        <f>SALCE[[#This Row],[Gross_Sales]]-SALCE[[#This Row],[Discount_Value]]</f>
        <v>7200</v>
      </c>
      <c r="R111" s="15" t="s">
        <v>54</v>
      </c>
      <c r="S111" s="15" t="s">
        <v>21</v>
      </c>
      <c r="T111" s="15" t="s">
        <v>22</v>
      </c>
    </row>
    <row r="112" spans="1:20" s="12" customFormat="1" ht="30" customHeight="1" thickTop="1" thickBot="1" x14ac:dyDescent="0.4">
      <c r="A112" s="7">
        <v>1111</v>
      </c>
      <c r="B112" s="8">
        <v>45768</v>
      </c>
      <c r="C112" s="14" t="s">
        <v>28</v>
      </c>
      <c r="D112" s="14" t="s">
        <v>29</v>
      </c>
      <c r="E112" s="14" t="s">
        <v>19</v>
      </c>
      <c r="F112" s="14" t="s">
        <v>20</v>
      </c>
      <c r="G112" s="7">
        <v>9</v>
      </c>
      <c r="H112" s="7">
        <v>300</v>
      </c>
      <c r="I112" s="9">
        <v>10</v>
      </c>
      <c r="J112" s="10">
        <f>SALCE[[#This Row],[After_Discount]]*SALCE[[#This Row],[Tax_%]]/100</f>
        <v>3.4020000000000006</v>
      </c>
      <c r="K112" s="11">
        <v>0.14000000000000001</v>
      </c>
      <c r="L112" s="10">
        <f>SALCE[[#This Row],[Quantity]]*SALCE[[#This Row],[Unit_Price]]</f>
        <v>2700</v>
      </c>
      <c r="M112" s="10">
        <f>SALCE[[#This Row],[Gross_Sales]]*SALCE[[#This Row],[Discount_%]]/100</f>
        <v>270</v>
      </c>
      <c r="N112" s="10">
        <f>SALCE[[#This Row],[After_Discount]]+SALCE[[#This Row],[Tax_Value]]</f>
        <v>2433.402</v>
      </c>
      <c r="O112" s="10">
        <f>SALCE[[#This Row],[Gross_Sales]]*70%</f>
        <v>1889.9999999999998</v>
      </c>
      <c r="P112" s="10">
        <f>SALCE[[#This Row],[Net_Sales]]-SALCE[[#This Row],[Cost_Price]]</f>
        <v>543.40200000000027</v>
      </c>
      <c r="Q112" s="10">
        <f>SALCE[[#This Row],[Gross_Sales]]-SALCE[[#This Row],[Discount_Value]]</f>
        <v>2430</v>
      </c>
      <c r="R112" s="15" t="s">
        <v>49</v>
      </c>
      <c r="S112" s="15" t="s">
        <v>26</v>
      </c>
      <c r="T112" s="15" t="s">
        <v>27</v>
      </c>
    </row>
    <row r="113" spans="1:20" s="12" customFormat="1" ht="30" customHeight="1" thickTop="1" thickBot="1" x14ac:dyDescent="0.4">
      <c r="A113" s="7">
        <v>1112</v>
      </c>
      <c r="B113" s="8">
        <v>45769</v>
      </c>
      <c r="C113" s="14" t="s">
        <v>17</v>
      </c>
      <c r="D113" s="14" t="s">
        <v>38</v>
      </c>
      <c r="E113" s="14" t="s">
        <v>33</v>
      </c>
      <c r="F113" s="14" t="s">
        <v>32</v>
      </c>
      <c r="G113" s="7">
        <v>1</v>
      </c>
      <c r="H113" s="7">
        <v>6000</v>
      </c>
      <c r="I113" s="9">
        <v>10</v>
      </c>
      <c r="J113" s="10">
        <f>SALCE[[#This Row],[After_Discount]]*SALCE[[#This Row],[Tax_%]]/100</f>
        <v>7.5600000000000014</v>
      </c>
      <c r="K113" s="11">
        <v>0.14000000000000001</v>
      </c>
      <c r="L113" s="10">
        <f>SALCE[[#This Row],[Quantity]]*SALCE[[#This Row],[Unit_Price]]</f>
        <v>6000</v>
      </c>
      <c r="M113" s="10">
        <f>SALCE[[#This Row],[Gross_Sales]]*SALCE[[#This Row],[Discount_%]]/100</f>
        <v>600</v>
      </c>
      <c r="N113" s="10">
        <f>SALCE[[#This Row],[After_Discount]]+SALCE[[#This Row],[Tax_Value]]</f>
        <v>5407.56</v>
      </c>
      <c r="O113" s="10">
        <f>SALCE[[#This Row],[Gross_Sales]]*70%</f>
        <v>4200</v>
      </c>
      <c r="P113" s="10">
        <f>SALCE[[#This Row],[Net_Sales]]-SALCE[[#This Row],[Cost_Price]]</f>
        <v>1207.5600000000004</v>
      </c>
      <c r="Q113" s="10">
        <f>SALCE[[#This Row],[Gross_Sales]]-SALCE[[#This Row],[Discount_Value]]</f>
        <v>5400</v>
      </c>
      <c r="R113" s="15" t="s">
        <v>59</v>
      </c>
      <c r="S113" s="15" t="s">
        <v>37</v>
      </c>
      <c r="T113" s="15" t="s">
        <v>27</v>
      </c>
    </row>
    <row r="114" spans="1:20" s="12" customFormat="1" ht="30" customHeight="1" thickTop="1" thickBot="1" x14ac:dyDescent="0.4">
      <c r="A114" s="7">
        <v>1113</v>
      </c>
      <c r="B114" s="8">
        <v>45770</v>
      </c>
      <c r="C114" s="14" t="s">
        <v>23</v>
      </c>
      <c r="D114" s="14" t="s">
        <v>29</v>
      </c>
      <c r="E114" s="14" t="s">
        <v>31</v>
      </c>
      <c r="F114" s="14" t="s">
        <v>32</v>
      </c>
      <c r="G114" s="7">
        <v>8</v>
      </c>
      <c r="H114" s="7">
        <v>15000</v>
      </c>
      <c r="I114" s="9">
        <v>0</v>
      </c>
      <c r="J114" s="10">
        <f>SALCE[[#This Row],[After_Discount]]*SALCE[[#This Row],[Tax_%]]/100</f>
        <v>168</v>
      </c>
      <c r="K114" s="11">
        <v>0.14000000000000001</v>
      </c>
      <c r="L114" s="10">
        <f>SALCE[[#This Row],[Quantity]]*SALCE[[#This Row],[Unit_Price]]</f>
        <v>120000</v>
      </c>
      <c r="M114" s="10">
        <f>SALCE[[#This Row],[Gross_Sales]]*SALCE[[#This Row],[Discount_%]]/100</f>
        <v>0</v>
      </c>
      <c r="N114" s="10">
        <f>SALCE[[#This Row],[After_Discount]]+SALCE[[#This Row],[Tax_Value]]</f>
        <v>120168</v>
      </c>
      <c r="O114" s="10">
        <f>SALCE[[#This Row],[Gross_Sales]]*70%</f>
        <v>84000</v>
      </c>
      <c r="P114" s="10">
        <f>SALCE[[#This Row],[Net_Sales]]-SALCE[[#This Row],[Cost_Price]]</f>
        <v>36168</v>
      </c>
      <c r="Q114" s="10">
        <f>SALCE[[#This Row],[Gross_Sales]]-SALCE[[#This Row],[Discount_Value]]</f>
        <v>120000</v>
      </c>
      <c r="R114" s="15" t="s">
        <v>57</v>
      </c>
      <c r="S114" s="15" t="s">
        <v>21</v>
      </c>
      <c r="T114" s="15" t="s">
        <v>22</v>
      </c>
    </row>
    <row r="115" spans="1:20" s="12" customFormat="1" ht="30" customHeight="1" thickTop="1" thickBot="1" x14ac:dyDescent="0.4">
      <c r="A115" s="7">
        <v>1114</v>
      </c>
      <c r="B115" s="8">
        <v>45771</v>
      </c>
      <c r="C115" s="14" t="s">
        <v>30</v>
      </c>
      <c r="D115" s="14" t="s">
        <v>41</v>
      </c>
      <c r="E115" s="14" t="s">
        <v>34</v>
      </c>
      <c r="F115" s="14" t="s">
        <v>32</v>
      </c>
      <c r="G115" s="7">
        <v>10</v>
      </c>
      <c r="H115" s="7">
        <v>4000</v>
      </c>
      <c r="I115" s="9">
        <v>10</v>
      </c>
      <c r="J115" s="10">
        <f>SALCE[[#This Row],[After_Discount]]*SALCE[[#This Row],[Tax_%]]/100</f>
        <v>50.400000000000006</v>
      </c>
      <c r="K115" s="11">
        <v>0.14000000000000001</v>
      </c>
      <c r="L115" s="10">
        <f>SALCE[[#This Row],[Quantity]]*SALCE[[#This Row],[Unit_Price]]</f>
        <v>40000</v>
      </c>
      <c r="M115" s="10">
        <f>SALCE[[#This Row],[Gross_Sales]]*SALCE[[#This Row],[Discount_%]]/100</f>
        <v>4000</v>
      </c>
      <c r="N115" s="10">
        <f>SALCE[[#This Row],[After_Discount]]+SALCE[[#This Row],[Tax_Value]]</f>
        <v>36050.400000000001</v>
      </c>
      <c r="O115" s="10">
        <f>SALCE[[#This Row],[Gross_Sales]]*70%</f>
        <v>28000</v>
      </c>
      <c r="P115" s="10">
        <f>SALCE[[#This Row],[Net_Sales]]-SALCE[[#This Row],[Cost_Price]]</f>
        <v>8050.4000000000015</v>
      </c>
      <c r="Q115" s="10">
        <f>SALCE[[#This Row],[Gross_Sales]]-SALCE[[#This Row],[Discount_Value]]</f>
        <v>36000</v>
      </c>
      <c r="R115" s="15" t="s">
        <v>60</v>
      </c>
      <c r="S115" s="15" t="s">
        <v>21</v>
      </c>
      <c r="T115" s="15" t="s">
        <v>22</v>
      </c>
    </row>
    <row r="116" spans="1:20" s="12" customFormat="1" ht="30" customHeight="1" thickTop="1" thickBot="1" x14ac:dyDescent="0.4">
      <c r="A116" s="7">
        <v>1115</v>
      </c>
      <c r="B116" s="8">
        <v>45772</v>
      </c>
      <c r="C116" s="14" t="s">
        <v>17</v>
      </c>
      <c r="D116" s="14" t="s">
        <v>18</v>
      </c>
      <c r="E116" s="14" t="s">
        <v>25</v>
      </c>
      <c r="F116" s="14" t="s">
        <v>20</v>
      </c>
      <c r="G116" s="7">
        <v>3</v>
      </c>
      <c r="H116" s="7">
        <v>500</v>
      </c>
      <c r="I116" s="9">
        <v>5</v>
      </c>
      <c r="J116" s="10">
        <f>SALCE[[#This Row],[After_Discount]]*SALCE[[#This Row],[Tax_%]]/100</f>
        <v>1.9950000000000003</v>
      </c>
      <c r="K116" s="11">
        <v>0.14000000000000001</v>
      </c>
      <c r="L116" s="10">
        <f>SALCE[[#This Row],[Quantity]]*SALCE[[#This Row],[Unit_Price]]</f>
        <v>1500</v>
      </c>
      <c r="M116" s="10">
        <f>SALCE[[#This Row],[Gross_Sales]]*SALCE[[#This Row],[Discount_%]]/100</f>
        <v>75</v>
      </c>
      <c r="N116" s="10">
        <f>SALCE[[#This Row],[After_Discount]]+SALCE[[#This Row],[Tax_Value]]</f>
        <v>1426.9949999999999</v>
      </c>
      <c r="O116" s="10">
        <f>SALCE[[#This Row],[Gross_Sales]]*70%</f>
        <v>1050</v>
      </c>
      <c r="P116" s="10">
        <f>SALCE[[#This Row],[Net_Sales]]-SALCE[[#This Row],[Cost_Price]]</f>
        <v>376.99499999999989</v>
      </c>
      <c r="Q116" s="10">
        <f>SALCE[[#This Row],[Gross_Sales]]-SALCE[[#This Row],[Discount_Value]]</f>
        <v>1425</v>
      </c>
      <c r="R116" s="15" t="s">
        <v>52</v>
      </c>
      <c r="S116" s="15" t="s">
        <v>37</v>
      </c>
      <c r="T116" s="15" t="s">
        <v>27</v>
      </c>
    </row>
    <row r="117" spans="1:20" s="12" customFormat="1" ht="30" customHeight="1" thickTop="1" thickBot="1" x14ac:dyDescent="0.4">
      <c r="A117" s="7">
        <v>1116</v>
      </c>
      <c r="B117" s="8">
        <v>45773</v>
      </c>
      <c r="C117" s="14" t="s">
        <v>23</v>
      </c>
      <c r="D117" s="14" t="s">
        <v>41</v>
      </c>
      <c r="E117" s="14" t="s">
        <v>25</v>
      </c>
      <c r="F117" s="14" t="s">
        <v>20</v>
      </c>
      <c r="G117" s="7">
        <v>2</v>
      </c>
      <c r="H117" s="7">
        <v>500</v>
      </c>
      <c r="I117" s="9">
        <v>10</v>
      </c>
      <c r="J117" s="10">
        <f>SALCE[[#This Row],[After_Discount]]*SALCE[[#This Row],[Tax_%]]/100</f>
        <v>1.2600000000000002</v>
      </c>
      <c r="K117" s="11">
        <v>0.14000000000000001</v>
      </c>
      <c r="L117" s="10">
        <f>SALCE[[#This Row],[Quantity]]*SALCE[[#This Row],[Unit_Price]]</f>
        <v>1000</v>
      </c>
      <c r="M117" s="10">
        <f>SALCE[[#This Row],[Gross_Sales]]*SALCE[[#This Row],[Discount_%]]/100</f>
        <v>100</v>
      </c>
      <c r="N117" s="10">
        <f>SALCE[[#This Row],[After_Discount]]+SALCE[[#This Row],[Tax_Value]]</f>
        <v>901.26</v>
      </c>
      <c r="O117" s="10">
        <f>SALCE[[#This Row],[Gross_Sales]]*70%</f>
        <v>700</v>
      </c>
      <c r="P117" s="10">
        <f>SALCE[[#This Row],[Net_Sales]]-SALCE[[#This Row],[Cost_Price]]</f>
        <v>201.26</v>
      </c>
      <c r="Q117" s="10">
        <f>SALCE[[#This Row],[Gross_Sales]]-SALCE[[#This Row],[Discount_Value]]</f>
        <v>900</v>
      </c>
      <c r="R117" s="15" t="s">
        <v>62</v>
      </c>
      <c r="S117" s="15" t="s">
        <v>37</v>
      </c>
      <c r="T117" s="15" t="s">
        <v>22</v>
      </c>
    </row>
    <row r="118" spans="1:20" s="12" customFormat="1" ht="30" customHeight="1" thickTop="1" thickBot="1" x14ac:dyDescent="0.4">
      <c r="A118" s="7">
        <v>1117</v>
      </c>
      <c r="B118" s="8">
        <v>45774</v>
      </c>
      <c r="C118" s="14" t="s">
        <v>28</v>
      </c>
      <c r="D118" s="14" t="s">
        <v>24</v>
      </c>
      <c r="E118" s="14" t="s">
        <v>19</v>
      </c>
      <c r="F118" s="14" t="s">
        <v>20</v>
      </c>
      <c r="G118" s="7">
        <v>3</v>
      </c>
      <c r="H118" s="7">
        <v>300</v>
      </c>
      <c r="I118" s="9">
        <v>0</v>
      </c>
      <c r="J118" s="10">
        <f>SALCE[[#This Row],[After_Discount]]*SALCE[[#This Row],[Tax_%]]/100</f>
        <v>1.2600000000000002</v>
      </c>
      <c r="K118" s="11">
        <v>0.14000000000000001</v>
      </c>
      <c r="L118" s="10">
        <f>SALCE[[#This Row],[Quantity]]*SALCE[[#This Row],[Unit_Price]]</f>
        <v>900</v>
      </c>
      <c r="M118" s="10">
        <f>SALCE[[#This Row],[Gross_Sales]]*SALCE[[#This Row],[Discount_%]]/100</f>
        <v>0</v>
      </c>
      <c r="N118" s="10">
        <f>SALCE[[#This Row],[After_Discount]]+SALCE[[#This Row],[Tax_Value]]</f>
        <v>901.26</v>
      </c>
      <c r="O118" s="10">
        <f>SALCE[[#This Row],[Gross_Sales]]*70%</f>
        <v>630</v>
      </c>
      <c r="P118" s="10">
        <f>SALCE[[#This Row],[Net_Sales]]-SALCE[[#This Row],[Cost_Price]]</f>
        <v>271.26</v>
      </c>
      <c r="Q118" s="10">
        <f>SALCE[[#This Row],[Gross_Sales]]-SALCE[[#This Row],[Discount_Value]]</f>
        <v>900</v>
      </c>
      <c r="R118" s="15" t="s">
        <v>60</v>
      </c>
      <c r="S118" s="15" t="s">
        <v>37</v>
      </c>
      <c r="T118" s="15" t="s">
        <v>22</v>
      </c>
    </row>
    <row r="119" spans="1:20" s="12" customFormat="1" ht="30" customHeight="1" thickTop="1" thickBot="1" x14ac:dyDescent="0.4">
      <c r="A119" s="7">
        <v>1118</v>
      </c>
      <c r="B119" s="8">
        <v>45775</v>
      </c>
      <c r="C119" s="14" t="s">
        <v>30</v>
      </c>
      <c r="D119" s="14" t="s">
        <v>41</v>
      </c>
      <c r="E119" s="14" t="s">
        <v>40</v>
      </c>
      <c r="F119" s="14" t="s">
        <v>20</v>
      </c>
      <c r="G119" s="7">
        <v>9</v>
      </c>
      <c r="H119" s="7">
        <v>800</v>
      </c>
      <c r="I119" s="9">
        <v>5</v>
      </c>
      <c r="J119" s="10">
        <f>SALCE[[#This Row],[After_Discount]]*SALCE[[#This Row],[Tax_%]]/100</f>
        <v>9.5760000000000005</v>
      </c>
      <c r="K119" s="11">
        <v>0.14000000000000001</v>
      </c>
      <c r="L119" s="10">
        <f>SALCE[[#This Row],[Quantity]]*SALCE[[#This Row],[Unit_Price]]</f>
        <v>7200</v>
      </c>
      <c r="M119" s="10">
        <f>SALCE[[#This Row],[Gross_Sales]]*SALCE[[#This Row],[Discount_%]]/100</f>
        <v>360</v>
      </c>
      <c r="N119" s="10">
        <f>SALCE[[#This Row],[After_Discount]]+SALCE[[#This Row],[Tax_Value]]</f>
        <v>6849.576</v>
      </c>
      <c r="O119" s="10">
        <f>SALCE[[#This Row],[Gross_Sales]]*70%</f>
        <v>5040</v>
      </c>
      <c r="P119" s="10">
        <f>SALCE[[#This Row],[Net_Sales]]-SALCE[[#This Row],[Cost_Price]]</f>
        <v>1809.576</v>
      </c>
      <c r="Q119" s="10">
        <f>SALCE[[#This Row],[Gross_Sales]]-SALCE[[#This Row],[Discount_Value]]</f>
        <v>6840</v>
      </c>
      <c r="R119" s="15" t="s">
        <v>53</v>
      </c>
      <c r="S119" s="15" t="s">
        <v>26</v>
      </c>
      <c r="T119" s="15" t="s">
        <v>22</v>
      </c>
    </row>
    <row r="120" spans="1:20" s="12" customFormat="1" ht="30" customHeight="1" thickTop="1" thickBot="1" x14ac:dyDescent="0.4">
      <c r="A120" s="7">
        <v>1119</v>
      </c>
      <c r="B120" s="8">
        <v>45776</v>
      </c>
      <c r="C120" s="14" t="s">
        <v>17</v>
      </c>
      <c r="D120" s="14" t="s">
        <v>38</v>
      </c>
      <c r="E120" s="14" t="s">
        <v>25</v>
      </c>
      <c r="F120" s="14" t="s">
        <v>20</v>
      </c>
      <c r="G120" s="7">
        <v>8</v>
      </c>
      <c r="H120" s="7">
        <v>500</v>
      </c>
      <c r="I120" s="9">
        <v>5</v>
      </c>
      <c r="J120" s="10">
        <f>SALCE[[#This Row],[After_Discount]]*SALCE[[#This Row],[Tax_%]]/100</f>
        <v>5.32</v>
      </c>
      <c r="K120" s="11">
        <v>0.14000000000000001</v>
      </c>
      <c r="L120" s="10">
        <f>SALCE[[#This Row],[Quantity]]*SALCE[[#This Row],[Unit_Price]]</f>
        <v>4000</v>
      </c>
      <c r="M120" s="10">
        <f>SALCE[[#This Row],[Gross_Sales]]*SALCE[[#This Row],[Discount_%]]/100</f>
        <v>200</v>
      </c>
      <c r="N120" s="10">
        <f>SALCE[[#This Row],[After_Discount]]+SALCE[[#This Row],[Tax_Value]]</f>
        <v>3805.32</v>
      </c>
      <c r="O120" s="10">
        <f>SALCE[[#This Row],[Gross_Sales]]*70%</f>
        <v>2800</v>
      </c>
      <c r="P120" s="10">
        <f>SALCE[[#This Row],[Net_Sales]]-SALCE[[#This Row],[Cost_Price]]</f>
        <v>1005.3200000000002</v>
      </c>
      <c r="Q120" s="10">
        <f>SALCE[[#This Row],[Gross_Sales]]-SALCE[[#This Row],[Discount_Value]]</f>
        <v>3800</v>
      </c>
      <c r="R120" s="15" t="s">
        <v>51</v>
      </c>
      <c r="S120" s="15" t="s">
        <v>21</v>
      </c>
      <c r="T120" s="15" t="s">
        <v>22</v>
      </c>
    </row>
    <row r="121" spans="1:20" s="12" customFormat="1" ht="30" customHeight="1" thickTop="1" thickBot="1" x14ac:dyDescent="0.4">
      <c r="A121" s="7">
        <v>1120</v>
      </c>
      <c r="B121" s="8">
        <v>45777</v>
      </c>
      <c r="C121" s="14" t="s">
        <v>35</v>
      </c>
      <c r="D121" s="14" t="s">
        <v>18</v>
      </c>
      <c r="E121" s="14" t="s">
        <v>33</v>
      </c>
      <c r="F121" s="14" t="s">
        <v>32</v>
      </c>
      <c r="G121" s="7">
        <v>10</v>
      </c>
      <c r="H121" s="7">
        <v>6000</v>
      </c>
      <c r="I121" s="9">
        <v>15</v>
      </c>
      <c r="J121" s="10">
        <f>SALCE[[#This Row],[After_Discount]]*SALCE[[#This Row],[Tax_%]]/100</f>
        <v>71.400000000000006</v>
      </c>
      <c r="K121" s="11">
        <v>0.14000000000000001</v>
      </c>
      <c r="L121" s="10">
        <f>SALCE[[#This Row],[Quantity]]*SALCE[[#This Row],[Unit_Price]]</f>
        <v>60000</v>
      </c>
      <c r="M121" s="10">
        <f>SALCE[[#This Row],[Gross_Sales]]*SALCE[[#This Row],[Discount_%]]/100</f>
        <v>9000</v>
      </c>
      <c r="N121" s="10">
        <f>SALCE[[#This Row],[After_Discount]]+SALCE[[#This Row],[Tax_Value]]</f>
        <v>51071.4</v>
      </c>
      <c r="O121" s="10">
        <f>SALCE[[#This Row],[Gross_Sales]]*70%</f>
        <v>42000</v>
      </c>
      <c r="P121" s="10">
        <f>SALCE[[#This Row],[Net_Sales]]-SALCE[[#This Row],[Cost_Price]]</f>
        <v>9071.4000000000015</v>
      </c>
      <c r="Q121" s="10">
        <f>SALCE[[#This Row],[Gross_Sales]]-SALCE[[#This Row],[Discount_Value]]</f>
        <v>51000</v>
      </c>
      <c r="R121" s="15" t="s">
        <v>61</v>
      </c>
      <c r="S121" s="15" t="s">
        <v>37</v>
      </c>
      <c r="T121" s="15" t="s">
        <v>27</v>
      </c>
    </row>
    <row r="122" spans="1:20" s="12" customFormat="1" ht="30" customHeight="1" thickTop="1" thickBot="1" x14ac:dyDescent="0.4">
      <c r="A122" s="7">
        <v>1121</v>
      </c>
      <c r="B122" s="8">
        <v>45778</v>
      </c>
      <c r="C122" s="14" t="s">
        <v>28</v>
      </c>
      <c r="D122" s="14" t="s">
        <v>41</v>
      </c>
      <c r="E122" s="14" t="s">
        <v>25</v>
      </c>
      <c r="F122" s="14" t="s">
        <v>20</v>
      </c>
      <c r="G122" s="7">
        <v>5</v>
      </c>
      <c r="H122" s="7">
        <v>500</v>
      </c>
      <c r="I122" s="9">
        <v>10</v>
      </c>
      <c r="J122" s="10">
        <f>SALCE[[#This Row],[After_Discount]]*SALCE[[#This Row],[Tax_%]]/100</f>
        <v>3.1500000000000004</v>
      </c>
      <c r="K122" s="11">
        <v>0.14000000000000001</v>
      </c>
      <c r="L122" s="10">
        <f>SALCE[[#This Row],[Quantity]]*SALCE[[#This Row],[Unit_Price]]</f>
        <v>2500</v>
      </c>
      <c r="M122" s="10">
        <f>SALCE[[#This Row],[Gross_Sales]]*SALCE[[#This Row],[Discount_%]]/100</f>
        <v>250</v>
      </c>
      <c r="N122" s="10">
        <f>SALCE[[#This Row],[After_Discount]]+SALCE[[#This Row],[Tax_Value]]</f>
        <v>2253.15</v>
      </c>
      <c r="O122" s="10">
        <f>SALCE[[#This Row],[Gross_Sales]]*70%</f>
        <v>1750</v>
      </c>
      <c r="P122" s="10">
        <f>SALCE[[#This Row],[Net_Sales]]-SALCE[[#This Row],[Cost_Price]]</f>
        <v>503.15000000000009</v>
      </c>
      <c r="Q122" s="10">
        <f>SALCE[[#This Row],[Gross_Sales]]-SALCE[[#This Row],[Discount_Value]]</f>
        <v>2250</v>
      </c>
      <c r="R122" s="15" t="s">
        <v>56</v>
      </c>
      <c r="S122" s="15" t="s">
        <v>21</v>
      </c>
      <c r="T122" s="15" t="s">
        <v>22</v>
      </c>
    </row>
    <row r="123" spans="1:20" s="12" customFormat="1" ht="30" customHeight="1" thickTop="1" thickBot="1" x14ac:dyDescent="0.4">
      <c r="A123" s="7">
        <v>1122</v>
      </c>
      <c r="B123" s="8">
        <v>45779</v>
      </c>
      <c r="C123" s="14" t="s">
        <v>23</v>
      </c>
      <c r="D123" s="14" t="s">
        <v>38</v>
      </c>
      <c r="E123" s="14" t="s">
        <v>33</v>
      </c>
      <c r="F123" s="14" t="s">
        <v>32</v>
      </c>
      <c r="G123" s="7">
        <v>7</v>
      </c>
      <c r="H123" s="7">
        <v>6000</v>
      </c>
      <c r="I123" s="9">
        <v>0</v>
      </c>
      <c r="J123" s="10">
        <f>SALCE[[#This Row],[After_Discount]]*SALCE[[#This Row],[Tax_%]]/100</f>
        <v>58.800000000000011</v>
      </c>
      <c r="K123" s="11">
        <v>0.14000000000000001</v>
      </c>
      <c r="L123" s="10">
        <f>SALCE[[#This Row],[Quantity]]*SALCE[[#This Row],[Unit_Price]]</f>
        <v>42000</v>
      </c>
      <c r="M123" s="10">
        <f>SALCE[[#This Row],[Gross_Sales]]*SALCE[[#This Row],[Discount_%]]/100</f>
        <v>0</v>
      </c>
      <c r="N123" s="10">
        <f>SALCE[[#This Row],[After_Discount]]+SALCE[[#This Row],[Tax_Value]]</f>
        <v>42058.8</v>
      </c>
      <c r="O123" s="10">
        <f>SALCE[[#This Row],[Gross_Sales]]*70%</f>
        <v>29399.999999999996</v>
      </c>
      <c r="P123" s="10">
        <f>SALCE[[#This Row],[Net_Sales]]-SALCE[[#This Row],[Cost_Price]]</f>
        <v>12658.800000000007</v>
      </c>
      <c r="Q123" s="10">
        <f>SALCE[[#This Row],[Gross_Sales]]-SALCE[[#This Row],[Discount_Value]]</f>
        <v>42000</v>
      </c>
      <c r="R123" s="15" t="s">
        <v>60</v>
      </c>
      <c r="S123" s="15" t="s">
        <v>26</v>
      </c>
      <c r="T123" s="15" t="s">
        <v>22</v>
      </c>
    </row>
    <row r="124" spans="1:20" s="12" customFormat="1" ht="30" customHeight="1" thickTop="1" thickBot="1" x14ac:dyDescent="0.4">
      <c r="A124" s="7">
        <v>1123</v>
      </c>
      <c r="B124" s="8">
        <v>45780</v>
      </c>
      <c r="C124" s="14" t="s">
        <v>23</v>
      </c>
      <c r="D124" s="14" t="s">
        <v>29</v>
      </c>
      <c r="E124" s="14" t="s">
        <v>31</v>
      </c>
      <c r="F124" s="14" t="s">
        <v>32</v>
      </c>
      <c r="G124" s="7">
        <v>6</v>
      </c>
      <c r="H124" s="7">
        <v>15000</v>
      </c>
      <c r="I124" s="9">
        <v>15</v>
      </c>
      <c r="J124" s="10">
        <f>SALCE[[#This Row],[After_Discount]]*SALCE[[#This Row],[Tax_%]]/100</f>
        <v>107.10000000000002</v>
      </c>
      <c r="K124" s="11">
        <v>0.14000000000000001</v>
      </c>
      <c r="L124" s="10">
        <f>SALCE[[#This Row],[Quantity]]*SALCE[[#This Row],[Unit_Price]]</f>
        <v>90000</v>
      </c>
      <c r="M124" s="10">
        <f>SALCE[[#This Row],[Gross_Sales]]*SALCE[[#This Row],[Discount_%]]/100</f>
        <v>13500</v>
      </c>
      <c r="N124" s="10">
        <f>SALCE[[#This Row],[After_Discount]]+SALCE[[#This Row],[Tax_Value]]</f>
        <v>76607.100000000006</v>
      </c>
      <c r="O124" s="10">
        <f>SALCE[[#This Row],[Gross_Sales]]*70%</f>
        <v>62999.999999999993</v>
      </c>
      <c r="P124" s="10">
        <f>SALCE[[#This Row],[Net_Sales]]-SALCE[[#This Row],[Cost_Price]]</f>
        <v>13607.100000000013</v>
      </c>
      <c r="Q124" s="10">
        <f>SALCE[[#This Row],[Gross_Sales]]-SALCE[[#This Row],[Discount_Value]]</f>
        <v>76500</v>
      </c>
      <c r="R124" s="15" t="s">
        <v>60</v>
      </c>
      <c r="S124" s="15" t="s">
        <v>21</v>
      </c>
      <c r="T124" s="15" t="s">
        <v>27</v>
      </c>
    </row>
    <row r="125" spans="1:20" s="12" customFormat="1" ht="30" customHeight="1" thickTop="1" thickBot="1" x14ac:dyDescent="0.4">
      <c r="A125" s="7">
        <v>1124</v>
      </c>
      <c r="B125" s="8">
        <v>45781</v>
      </c>
      <c r="C125" s="14" t="s">
        <v>39</v>
      </c>
      <c r="D125" s="14" t="s">
        <v>24</v>
      </c>
      <c r="E125" s="14" t="s">
        <v>19</v>
      </c>
      <c r="F125" s="14" t="s">
        <v>20</v>
      </c>
      <c r="G125" s="7">
        <v>7</v>
      </c>
      <c r="H125" s="7">
        <v>300</v>
      </c>
      <c r="I125" s="9">
        <v>5</v>
      </c>
      <c r="J125" s="10">
        <f>SALCE[[#This Row],[After_Discount]]*SALCE[[#This Row],[Tax_%]]/100</f>
        <v>2.7930000000000001</v>
      </c>
      <c r="K125" s="11">
        <v>0.14000000000000001</v>
      </c>
      <c r="L125" s="10">
        <f>SALCE[[#This Row],[Quantity]]*SALCE[[#This Row],[Unit_Price]]</f>
        <v>2100</v>
      </c>
      <c r="M125" s="10">
        <f>SALCE[[#This Row],[Gross_Sales]]*SALCE[[#This Row],[Discount_%]]/100</f>
        <v>105</v>
      </c>
      <c r="N125" s="10">
        <f>SALCE[[#This Row],[After_Discount]]+SALCE[[#This Row],[Tax_Value]]</f>
        <v>1997.7929999999999</v>
      </c>
      <c r="O125" s="10">
        <f>SALCE[[#This Row],[Gross_Sales]]*70%</f>
        <v>1470</v>
      </c>
      <c r="P125" s="10">
        <f>SALCE[[#This Row],[Net_Sales]]-SALCE[[#This Row],[Cost_Price]]</f>
        <v>527.79299999999989</v>
      </c>
      <c r="Q125" s="10">
        <f>SALCE[[#This Row],[Gross_Sales]]-SALCE[[#This Row],[Discount_Value]]</f>
        <v>1995</v>
      </c>
      <c r="R125" s="15" t="s">
        <v>50</v>
      </c>
      <c r="S125" s="15" t="s">
        <v>37</v>
      </c>
      <c r="T125" s="15" t="s">
        <v>22</v>
      </c>
    </row>
    <row r="126" spans="1:20" s="12" customFormat="1" ht="30" customHeight="1" thickTop="1" thickBot="1" x14ac:dyDescent="0.4">
      <c r="A126" s="7">
        <v>1125</v>
      </c>
      <c r="B126" s="8">
        <v>45782</v>
      </c>
      <c r="C126" s="14" t="s">
        <v>39</v>
      </c>
      <c r="D126" s="14" t="s">
        <v>36</v>
      </c>
      <c r="E126" s="14" t="s">
        <v>33</v>
      </c>
      <c r="F126" s="14" t="s">
        <v>32</v>
      </c>
      <c r="G126" s="7">
        <v>3</v>
      </c>
      <c r="H126" s="7">
        <v>6000</v>
      </c>
      <c r="I126" s="9">
        <v>5</v>
      </c>
      <c r="J126" s="10">
        <f>SALCE[[#This Row],[After_Discount]]*SALCE[[#This Row],[Tax_%]]/100</f>
        <v>23.940000000000005</v>
      </c>
      <c r="K126" s="11">
        <v>0.14000000000000001</v>
      </c>
      <c r="L126" s="10">
        <f>SALCE[[#This Row],[Quantity]]*SALCE[[#This Row],[Unit_Price]]</f>
        <v>18000</v>
      </c>
      <c r="M126" s="10">
        <f>SALCE[[#This Row],[Gross_Sales]]*SALCE[[#This Row],[Discount_%]]/100</f>
        <v>900</v>
      </c>
      <c r="N126" s="10">
        <f>SALCE[[#This Row],[After_Discount]]+SALCE[[#This Row],[Tax_Value]]</f>
        <v>17123.939999999999</v>
      </c>
      <c r="O126" s="10">
        <f>SALCE[[#This Row],[Gross_Sales]]*70%</f>
        <v>12600</v>
      </c>
      <c r="P126" s="10">
        <f>SALCE[[#This Row],[Net_Sales]]-SALCE[[#This Row],[Cost_Price]]</f>
        <v>4523.9399999999987</v>
      </c>
      <c r="Q126" s="10">
        <f>SALCE[[#This Row],[Gross_Sales]]-SALCE[[#This Row],[Discount_Value]]</f>
        <v>17100</v>
      </c>
      <c r="R126" s="15" t="s">
        <v>58</v>
      </c>
      <c r="S126" s="15" t="s">
        <v>26</v>
      </c>
      <c r="T126" s="15" t="s">
        <v>27</v>
      </c>
    </row>
    <row r="127" spans="1:20" s="12" customFormat="1" ht="30" customHeight="1" thickTop="1" thickBot="1" x14ac:dyDescent="0.4">
      <c r="A127" s="7">
        <v>1126</v>
      </c>
      <c r="B127" s="8">
        <v>45783</v>
      </c>
      <c r="C127" s="14" t="s">
        <v>17</v>
      </c>
      <c r="D127" s="14" t="s">
        <v>29</v>
      </c>
      <c r="E127" s="14" t="s">
        <v>34</v>
      </c>
      <c r="F127" s="14" t="s">
        <v>32</v>
      </c>
      <c r="G127" s="7">
        <v>1</v>
      </c>
      <c r="H127" s="7">
        <v>4000</v>
      </c>
      <c r="I127" s="9">
        <v>10</v>
      </c>
      <c r="J127" s="10">
        <f>SALCE[[#This Row],[After_Discount]]*SALCE[[#This Row],[Tax_%]]/100</f>
        <v>5.0400000000000009</v>
      </c>
      <c r="K127" s="11">
        <v>0.14000000000000001</v>
      </c>
      <c r="L127" s="10">
        <f>SALCE[[#This Row],[Quantity]]*SALCE[[#This Row],[Unit_Price]]</f>
        <v>4000</v>
      </c>
      <c r="M127" s="10">
        <f>SALCE[[#This Row],[Gross_Sales]]*SALCE[[#This Row],[Discount_%]]/100</f>
        <v>400</v>
      </c>
      <c r="N127" s="10">
        <f>SALCE[[#This Row],[After_Discount]]+SALCE[[#This Row],[Tax_Value]]</f>
        <v>3605.04</v>
      </c>
      <c r="O127" s="10">
        <f>SALCE[[#This Row],[Gross_Sales]]*70%</f>
        <v>2800</v>
      </c>
      <c r="P127" s="10">
        <f>SALCE[[#This Row],[Net_Sales]]-SALCE[[#This Row],[Cost_Price]]</f>
        <v>805.04</v>
      </c>
      <c r="Q127" s="10">
        <f>SALCE[[#This Row],[Gross_Sales]]-SALCE[[#This Row],[Discount_Value]]</f>
        <v>3600</v>
      </c>
      <c r="R127" s="15" t="s">
        <v>51</v>
      </c>
      <c r="S127" s="15" t="s">
        <v>37</v>
      </c>
      <c r="T127" s="15" t="s">
        <v>27</v>
      </c>
    </row>
    <row r="128" spans="1:20" s="12" customFormat="1" ht="30" customHeight="1" thickTop="1" thickBot="1" x14ac:dyDescent="0.4">
      <c r="A128" s="7">
        <v>1127</v>
      </c>
      <c r="B128" s="8">
        <v>45784</v>
      </c>
      <c r="C128" s="14" t="s">
        <v>30</v>
      </c>
      <c r="D128" s="14" t="s">
        <v>18</v>
      </c>
      <c r="E128" s="14" t="s">
        <v>33</v>
      </c>
      <c r="F128" s="14" t="s">
        <v>32</v>
      </c>
      <c r="G128" s="7">
        <v>6</v>
      </c>
      <c r="H128" s="7">
        <v>6000</v>
      </c>
      <c r="I128" s="9">
        <v>0</v>
      </c>
      <c r="J128" s="10">
        <f>SALCE[[#This Row],[After_Discount]]*SALCE[[#This Row],[Tax_%]]/100</f>
        <v>50.400000000000006</v>
      </c>
      <c r="K128" s="11">
        <v>0.14000000000000001</v>
      </c>
      <c r="L128" s="10">
        <f>SALCE[[#This Row],[Quantity]]*SALCE[[#This Row],[Unit_Price]]</f>
        <v>36000</v>
      </c>
      <c r="M128" s="10">
        <f>SALCE[[#This Row],[Gross_Sales]]*SALCE[[#This Row],[Discount_%]]/100</f>
        <v>0</v>
      </c>
      <c r="N128" s="10">
        <f>SALCE[[#This Row],[After_Discount]]+SALCE[[#This Row],[Tax_Value]]</f>
        <v>36050.400000000001</v>
      </c>
      <c r="O128" s="10">
        <f>SALCE[[#This Row],[Gross_Sales]]*70%</f>
        <v>25200</v>
      </c>
      <c r="P128" s="10">
        <f>SALCE[[#This Row],[Net_Sales]]-SALCE[[#This Row],[Cost_Price]]</f>
        <v>10850.400000000001</v>
      </c>
      <c r="Q128" s="10">
        <f>SALCE[[#This Row],[Gross_Sales]]-SALCE[[#This Row],[Discount_Value]]</f>
        <v>36000</v>
      </c>
      <c r="R128" s="15" t="s">
        <v>60</v>
      </c>
      <c r="S128" s="15" t="s">
        <v>26</v>
      </c>
      <c r="T128" s="15" t="s">
        <v>22</v>
      </c>
    </row>
    <row r="129" spans="1:20" s="12" customFormat="1" ht="30" customHeight="1" thickTop="1" thickBot="1" x14ac:dyDescent="0.4">
      <c r="A129" s="7">
        <v>1128</v>
      </c>
      <c r="B129" s="8">
        <v>45785</v>
      </c>
      <c r="C129" s="14" t="s">
        <v>28</v>
      </c>
      <c r="D129" s="14" t="s">
        <v>18</v>
      </c>
      <c r="E129" s="14" t="s">
        <v>34</v>
      </c>
      <c r="F129" s="14" t="s">
        <v>32</v>
      </c>
      <c r="G129" s="7">
        <v>7</v>
      </c>
      <c r="H129" s="7">
        <v>4000</v>
      </c>
      <c r="I129" s="9">
        <v>15</v>
      </c>
      <c r="J129" s="10">
        <f>SALCE[[#This Row],[After_Discount]]*SALCE[[#This Row],[Tax_%]]/100</f>
        <v>33.320000000000007</v>
      </c>
      <c r="K129" s="11">
        <v>0.14000000000000001</v>
      </c>
      <c r="L129" s="10">
        <f>SALCE[[#This Row],[Quantity]]*SALCE[[#This Row],[Unit_Price]]</f>
        <v>28000</v>
      </c>
      <c r="M129" s="10">
        <f>SALCE[[#This Row],[Gross_Sales]]*SALCE[[#This Row],[Discount_%]]/100</f>
        <v>4200</v>
      </c>
      <c r="N129" s="10">
        <f>SALCE[[#This Row],[After_Discount]]+SALCE[[#This Row],[Tax_Value]]</f>
        <v>23833.32</v>
      </c>
      <c r="O129" s="10">
        <f>SALCE[[#This Row],[Gross_Sales]]*70%</f>
        <v>19600</v>
      </c>
      <c r="P129" s="10">
        <f>SALCE[[#This Row],[Net_Sales]]-SALCE[[#This Row],[Cost_Price]]</f>
        <v>4233.32</v>
      </c>
      <c r="Q129" s="10">
        <f>SALCE[[#This Row],[Gross_Sales]]-SALCE[[#This Row],[Discount_Value]]</f>
        <v>23800</v>
      </c>
      <c r="R129" s="15" t="s">
        <v>50</v>
      </c>
      <c r="S129" s="15" t="s">
        <v>37</v>
      </c>
      <c r="T129" s="15" t="s">
        <v>22</v>
      </c>
    </row>
    <row r="130" spans="1:20" s="12" customFormat="1" ht="30" customHeight="1" thickTop="1" thickBot="1" x14ac:dyDescent="0.4">
      <c r="A130" s="7">
        <v>1129</v>
      </c>
      <c r="B130" s="8">
        <v>45786</v>
      </c>
      <c r="C130" s="14" t="s">
        <v>35</v>
      </c>
      <c r="D130" s="14" t="s">
        <v>36</v>
      </c>
      <c r="E130" s="14" t="s">
        <v>34</v>
      </c>
      <c r="F130" s="14" t="s">
        <v>32</v>
      </c>
      <c r="G130" s="7">
        <v>7</v>
      </c>
      <c r="H130" s="7">
        <v>4000</v>
      </c>
      <c r="I130" s="9">
        <v>0</v>
      </c>
      <c r="J130" s="10">
        <f>SALCE[[#This Row],[After_Discount]]*SALCE[[#This Row],[Tax_%]]/100</f>
        <v>39.200000000000003</v>
      </c>
      <c r="K130" s="11">
        <v>0.14000000000000001</v>
      </c>
      <c r="L130" s="10">
        <f>SALCE[[#This Row],[Quantity]]*SALCE[[#This Row],[Unit_Price]]</f>
        <v>28000</v>
      </c>
      <c r="M130" s="10">
        <f>SALCE[[#This Row],[Gross_Sales]]*SALCE[[#This Row],[Discount_%]]/100</f>
        <v>0</v>
      </c>
      <c r="N130" s="10">
        <f>SALCE[[#This Row],[After_Discount]]+SALCE[[#This Row],[Tax_Value]]</f>
        <v>28039.200000000001</v>
      </c>
      <c r="O130" s="10">
        <f>SALCE[[#This Row],[Gross_Sales]]*70%</f>
        <v>19600</v>
      </c>
      <c r="P130" s="10">
        <f>SALCE[[#This Row],[Net_Sales]]-SALCE[[#This Row],[Cost_Price]]</f>
        <v>8439.2000000000007</v>
      </c>
      <c r="Q130" s="10">
        <f>SALCE[[#This Row],[Gross_Sales]]-SALCE[[#This Row],[Discount_Value]]</f>
        <v>28000</v>
      </c>
      <c r="R130" s="15" t="s">
        <v>57</v>
      </c>
      <c r="S130" s="15" t="s">
        <v>21</v>
      </c>
      <c r="T130" s="15" t="s">
        <v>22</v>
      </c>
    </row>
    <row r="131" spans="1:20" s="12" customFormat="1" ht="30" customHeight="1" thickTop="1" thickBot="1" x14ac:dyDescent="0.4">
      <c r="A131" s="7">
        <v>1130</v>
      </c>
      <c r="B131" s="8">
        <v>45787</v>
      </c>
      <c r="C131" s="14" t="s">
        <v>28</v>
      </c>
      <c r="D131" s="14" t="s">
        <v>41</v>
      </c>
      <c r="E131" s="14" t="s">
        <v>31</v>
      </c>
      <c r="F131" s="14" t="s">
        <v>32</v>
      </c>
      <c r="G131" s="7">
        <v>2</v>
      </c>
      <c r="H131" s="7">
        <v>15000</v>
      </c>
      <c r="I131" s="9">
        <v>5</v>
      </c>
      <c r="J131" s="10">
        <f>SALCE[[#This Row],[After_Discount]]*SALCE[[#This Row],[Tax_%]]/100</f>
        <v>39.900000000000006</v>
      </c>
      <c r="K131" s="11">
        <v>0.14000000000000001</v>
      </c>
      <c r="L131" s="10">
        <f>SALCE[[#This Row],[Quantity]]*SALCE[[#This Row],[Unit_Price]]</f>
        <v>30000</v>
      </c>
      <c r="M131" s="10">
        <f>SALCE[[#This Row],[Gross_Sales]]*SALCE[[#This Row],[Discount_%]]/100</f>
        <v>1500</v>
      </c>
      <c r="N131" s="10">
        <f>SALCE[[#This Row],[After_Discount]]+SALCE[[#This Row],[Tax_Value]]</f>
        <v>28539.9</v>
      </c>
      <c r="O131" s="10">
        <f>SALCE[[#This Row],[Gross_Sales]]*70%</f>
        <v>21000</v>
      </c>
      <c r="P131" s="10">
        <f>SALCE[[#This Row],[Net_Sales]]-SALCE[[#This Row],[Cost_Price]]</f>
        <v>7539.9000000000015</v>
      </c>
      <c r="Q131" s="10">
        <f>SALCE[[#This Row],[Gross_Sales]]-SALCE[[#This Row],[Discount_Value]]</f>
        <v>28500</v>
      </c>
      <c r="R131" s="15" t="s">
        <v>59</v>
      </c>
      <c r="S131" s="15" t="s">
        <v>37</v>
      </c>
      <c r="T131" s="15" t="s">
        <v>22</v>
      </c>
    </row>
    <row r="132" spans="1:20" s="12" customFormat="1" ht="30" customHeight="1" thickTop="1" thickBot="1" x14ac:dyDescent="0.4">
      <c r="A132" s="7">
        <v>1131</v>
      </c>
      <c r="B132" s="8">
        <v>45788</v>
      </c>
      <c r="C132" s="14" t="s">
        <v>39</v>
      </c>
      <c r="D132" s="14" t="s">
        <v>24</v>
      </c>
      <c r="E132" s="14" t="s">
        <v>34</v>
      </c>
      <c r="F132" s="14" t="s">
        <v>32</v>
      </c>
      <c r="G132" s="7">
        <v>3</v>
      </c>
      <c r="H132" s="7">
        <v>4000</v>
      </c>
      <c r="I132" s="9">
        <v>5</v>
      </c>
      <c r="J132" s="10">
        <f>SALCE[[#This Row],[After_Discount]]*SALCE[[#This Row],[Tax_%]]/100</f>
        <v>15.960000000000003</v>
      </c>
      <c r="K132" s="11">
        <v>0.14000000000000001</v>
      </c>
      <c r="L132" s="10">
        <f>SALCE[[#This Row],[Quantity]]*SALCE[[#This Row],[Unit_Price]]</f>
        <v>12000</v>
      </c>
      <c r="M132" s="10">
        <f>SALCE[[#This Row],[Gross_Sales]]*SALCE[[#This Row],[Discount_%]]/100</f>
        <v>600</v>
      </c>
      <c r="N132" s="10">
        <f>SALCE[[#This Row],[After_Discount]]+SALCE[[#This Row],[Tax_Value]]</f>
        <v>11415.96</v>
      </c>
      <c r="O132" s="10">
        <f>SALCE[[#This Row],[Gross_Sales]]*70%</f>
        <v>8400</v>
      </c>
      <c r="P132" s="10">
        <f>SALCE[[#This Row],[Net_Sales]]-SALCE[[#This Row],[Cost_Price]]</f>
        <v>3015.9599999999991</v>
      </c>
      <c r="Q132" s="10">
        <f>SALCE[[#This Row],[Gross_Sales]]-SALCE[[#This Row],[Discount_Value]]</f>
        <v>11400</v>
      </c>
      <c r="R132" s="15" t="s">
        <v>62</v>
      </c>
      <c r="S132" s="15" t="s">
        <v>21</v>
      </c>
      <c r="T132" s="15" t="s">
        <v>27</v>
      </c>
    </row>
    <row r="133" spans="1:20" s="12" customFormat="1" ht="30" customHeight="1" thickTop="1" thickBot="1" x14ac:dyDescent="0.4">
      <c r="A133" s="7">
        <v>1132</v>
      </c>
      <c r="B133" s="8">
        <v>45789</v>
      </c>
      <c r="C133" s="14" t="s">
        <v>17</v>
      </c>
      <c r="D133" s="14" t="s">
        <v>24</v>
      </c>
      <c r="E133" s="14" t="s">
        <v>34</v>
      </c>
      <c r="F133" s="14" t="s">
        <v>32</v>
      </c>
      <c r="G133" s="7">
        <v>7</v>
      </c>
      <c r="H133" s="7">
        <v>4000</v>
      </c>
      <c r="I133" s="9">
        <v>10</v>
      </c>
      <c r="J133" s="10">
        <f>SALCE[[#This Row],[After_Discount]]*SALCE[[#This Row],[Tax_%]]/100</f>
        <v>35.28</v>
      </c>
      <c r="K133" s="11">
        <v>0.14000000000000001</v>
      </c>
      <c r="L133" s="10">
        <f>SALCE[[#This Row],[Quantity]]*SALCE[[#This Row],[Unit_Price]]</f>
        <v>28000</v>
      </c>
      <c r="M133" s="10">
        <f>SALCE[[#This Row],[Gross_Sales]]*SALCE[[#This Row],[Discount_%]]/100</f>
        <v>2800</v>
      </c>
      <c r="N133" s="10">
        <f>SALCE[[#This Row],[After_Discount]]+SALCE[[#This Row],[Tax_Value]]</f>
        <v>25235.279999999999</v>
      </c>
      <c r="O133" s="10">
        <f>SALCE[[#This Row],[Gross_Sales]]*70%</f>
        <v>19600</v>
      </c>
      <c r="P133" s="10">
        <f>SALCE[[#This Row],[Net_Sales]]-SALCE[[#This Row],[Cost_Price]]</f>
        <v>5635.2799999999988</v>
      </c>
      <c r="Q133" s="10">
        <f>SALCE[[#This Row],[Gross_Sales]]-SALCE[[#This Row],[Discount_Value]]</f>
        <v>25200</v>
      </c>
      <c r="R133" s="15" t="s">
        <v>60</v>
      </c>
      <c r="S133" s="15" t="s">
        <v>21</v>
      </c>
      <c r="T133" s="15" t="s">
        <v>22</v>
      </c>
    </row>
    <row r="134" spans="1:20" s="12" customFormat="1" ht="30" customHeight="1" thickTop="1" thickBot="1" x14ac:dyDescent="0.4">
      <c r="A134" s="7">
        <v>1133</v>
      </c>
      <c r="B134" s="8">
        <v>45790</v>
      </c>
      <c r="C134" s="14" t="s">
        <v>17</v>
      </c>
      <c r="D134" s="14" t="s">
        <v>18</v>
      </c>
      <c r="E134" s="14" t="s">
        <v>40</v>
      </c>
      <c r="F134" s="14" t="s">
        <v>20</v>
      </c>
      <c r="G134" s="7">
        <v>5</v>
      </c>
      <c r="H134" s="7">
        <v>800</v>
      </c>
      <c r="I134" s="9">
        <v>15</v>
      </c>
      <c r="J134" s="10">
        <f>SALCE[[#This Row],[After_Discount]]*SALCE[[#This Row],[Tax_%]]/100</f>
        <v>4.7600000000000007</v>
      </c>
      <c r="K134" s="11">
        <v>0.14000000000000001</v>
      </c>
      <c r="L134" s="10">
        <f>SALCE[[#This Row],[Quantity]]*SALCE[[#This Row],[Unit_Price]]</f>
        <v>4000</v>
      </c>
      <c r="M134" s="10">
        <f>SALCE[[#This Row],[Gross_Sales]]*SALCE[[#This Row],[Discount_%]]/100</f>
        <v>600</v>
      </c>
      <c r="N134" s="10">
        <f>SALCE[[#This Row],[After_Discount]]+SALCE[[#This Row],[Tax_Value]]</f>
        <v>3404.76</v>
      </c>
      <c r="O134" s="10">
        <f>SALCE[[#This Row],[Gross_Sales]]*70%</f>
        <v>2800</v>
      </c>
      <c r="P134" s="10">
        <f>SALCE[[#This Row],[Net_Sales]]-SALCE[[#This Row],[Cost_Price]]</f>
        <v>604.76000000000022</v>
      </c>
      <c r="Q134" s="10">
        <f>SALCE[[#This Row],[Gross_Sales]]-SALCE[[#This Row],[Discount_Value]]</f>
        <v>3400</v>
      </c>
      <c r="R134" s="15" t="s">
        <v>58</v>
      </c>
      <c r="S134" s="15" t="s">
        <v>37</v>
      </c>
      <c r="T134" s="15" t="s">
        <v>27</v>
      </c>
    </row>
    <row r="135" spans="1:20" s="12" customFormat="1" ht="30" customHeight="1" thickTop="1" thickBot="1" x14ac:dyDescent="0.4">
      <c r="A135" s="7">
        <v>1134</v>
      </c>
      <c r="B135" s="8">
        <v>45791</v>
      </c>
      <c r="C135" s="14" t="s">
        <v>39</v>
      </c>
      <c r="D135" s="14" t="s">
        <v>41</v>
      </c>
      <c r="E135" s="14" t="s">
        <v>25</v>
      </c>
      <c r="F135" s="14" t="s">
        <v>20</v>
      </c>
      <c r="G135" s="7">
        <v>6</v>
      </c>
      <c r="H135" s="7">
        <v>500</v>
      </c>
      <c r="I135" s="9">
        <v>0</v>
      </c>
      <c r="J135" s="10">
        <f>SALCE[[#This Row],[After_Discount]]*SALCE[[#This Row],[Tax_%]]/100</f>
        <v>4.2</v>
      </c>
      <c r="K135" s="11">
        <v>0.14000000000000001</v>
      </c>
      <c r="L135" s="10">
        <f>SALCE[[#This Row],[Quantity]]*SALCE[[#This Row],[Unit_Price]]</f>
        <v>3000</v>
      </c>
      <c r="M135" s="10">
        <f>SALCE[[#This Row],[Gross_Sales]]*SALCE[[#This Row],[Discount_%]]/100</f>
        <v>0</v>
      </c>
      <c r="N135" s="10">
        <f>SALCE[[#This Row],[After_Discount]]+SALCE[[#This Row],[Tax_Value]]</f>
        <v>3004.2</v>
      </c>
      <c r="O135" s="10">
        <f>SALCE[[#This Row],[Gross_Sales]]*70%</f>
        <v>2100</v>
      </c>
      <c r="P135" s="10">
        <f>SALCE[[#This Row],[Net_Sales]]-SALCE[[#This Row],[Cost_Price]]</f>
        <v>904.19999999999982</v>
      </c>
      <c r="Q135" s="10">
        <f>SALCE[[#This Row],[Gross_Sales]]-SALCE[[#This Row],[Discount_Value]]</f>
        <v>3000</v>
      </c>
      <c r="R135" s="15" t="s">
        <v>54</v>
      </c>
      <c r="S135" s="15" t="s">
        <v>26</v>
      </c>
      <c r="T135" s="15" t="s">
        <v>22</v>
      </c>
    </row>
    <row r="136" spans="1:20" s="12" customFormat="1" ht="30" customHeight="1" thickTop="1" thickBot="1" x14ac:dyDescent="0.4">
      <c r="A136" s="7">
        <v>1135</v>
      </c>
      <c r="B136" s="8">
        <v>45792</v>
      </c>
      <c r="C136" s="14" t="s">
        <v>28</v>
      </c>
      <c r="D136" s="14" t="s">
        <v>41</v>
      </c>
      <c r="E136" s="14" t="s">
        <v>33</v>
      </c>
      <c r="F136" s="14" t="s">
        <v>32</v>
      </c>
      <c r="G136" s="7">
        <v>1</v>
      </c>
      <c r="H136" s="7">
        <v>6000</v>
      </c>
      <c r="I136" s="9">
        <v>10</v>
      </c>
      <c r="J136" s="10">
        <f>SALCE[[#This Row],[After_Discount]]*SALCE[[#This Row],[Tax_%]]/100</f>
        <v>7.5600000000000014</v>
      </c>
      <c r="K136" s="11">
        <v>0.14000000000000001</v>
      </c>
      <c r="L136" s="10">
        <f>SALCE[[#This Row],[Quantity]]*SALCE[[#This Row],[Unit_Price]]</f>
        <v>6000</v>
      </c>
      <c r="M136" s="10">
        <f>SALCE[[#This Row],[Gross_Sales]]*SALCE[[#This Row],[Discount_%]]/100</f>
        <v>600</v>
      </c>
      <c r="N136" s="10">
        <f>SALCE[[#This Row],[After_Discount]]+SALCE[[#This Row],[Tax_Value]]</f>
        <v>5407.56</v>
      </c>
      <c r="O136" s="10">
        <f>SALCE[[#This Row],[Gross_Sales]]*70%</f>
        <v>4200</v>
      </c>
      <c r="P136" s="10">
        <f>SALCE[[#This Row],[Net_Sales]]-SALCE[[#This Row],[Cost_Price]]</f>
        <v>1207.5600000000004</v>
      </c>
      <c r="Q136" s="10">
        <f>SALCE[[#This Row],[Gross_Sales]]-SALCE[[#This Row],[Discount_Value]]</f>
        <v>5400</v>
      </c>
      <c r="R136" s="15" t="s">
        <v>61</v>
      </c>
      <c r="S136" s="15" t="s">
        <v>37</v>
      </c>
      <c r="T136" s="15" t="s">
        <v>22</v>
      </c>
    </row>
    <row r="137" spans="1:20" s="12" customFormat="1" ht="30" customHeight="1" thickTop="1" thickBot="1" x14ac:dyDescent="0.4">
      <c r="A137" s="7">
        <v>1136</v>
      </c>
      <c r="B137" s="8">
        <v>45793</v>
      </c>
      <c r="C137" s="14" t="s">
        <v>17</v>
      </c>
      <c r="D137" s="14" t="s">
        <v>41</v>
      </c>
      <c r="E137" s="14" t="s">
        <v>33</v>
      </c>
      <c r="F137" s="14" t="s">
        <v>32</v>
      </c>
      <c r="G137" s="7">
        <v>5</v>
      </c>
      <c r="H137" s="7">
        <v>6000</v>
      </c>
      <c r="I137" s="9">
        <v>0</v>
      </c>
      <c r="J137" s="10">
        <f>SALCE[[#This Row],[After_Discount]]*SALCE[[#This Row],[Tax_%]]/100</f>
        <v>42</v>
      </c>
      <c r="K137" s="11">
        <v>0.14000000000000001</v>
      </c>
      <c r="L137" s="10">
        <f>SALCE[[#This Row],[Quantity]]*SALCE[[#This Row],[Unit_Price]]</f>
        <v>30000</v>
      </c>
      <c r="M137" s="10">
        <f>SALCE[[#This Row],[Gross_Sales]]*SALCE[[#This Row],[Discount_%]]/100</f>
        <v>0</v>
      </c>
      <c r="N137" s="10">
        <f>SALCE[[#This Row],[After_Discount]]+SALCE[[#This Row],[Tax_Value]]</f>
        <v>30042</v>
      </c>
      <c r="O137" s="10">
        <f>SALCE[[#This Row],[Gross_Sales]]*70%</f>
        <v>21000</v>
      </c>
      <c r="P137" s="10">
        <f>SALCE[[#This Row],[Net_Sales]]-SALCE[[#This Row],[Cost_Price]]</f>
        <v>9042</v>
      </c>
      <c r="Q137" s="10">
        <f>SALCE[[#This Row],[Gross_Sales]]-SALCE[[#This Row],[Discount_Value]]</f>
        <v>30000</v>
      </c>
      <c r="R137" s="15" t="s">
        <v>54</v>
      </c>
      <c r="S137" s="15" t="s">
        <v>37</v>
      </c>
      <c r="T137" s="15" t="s">
        <v>27</v>
      </c>
    </row>
    <row r="138" spans="1:20" s="12" customFormat="1" ht="30" customHeight="1" thickTop="1" thickBot="1" x14ac:dyDescent="0.4">
      <c r="A138" s="7">
        <v>1137</v>
      </c>
      <c r="B138" s="8">
        <v>45794</v>
      </c>
      <c r="C138" s="14" t="s">
        <v>17</v>
      </c>
      <c r="D138" s="14" t="s">
        <v>18</v>
      </c>
      <c r="E138" s="14" t="s">
        <v>25</v>
      </c>
      <c r="F138" s="14" t="s">
        <v>20</v>
      </c>
      <c r="G138" s="7">
        <v>7</v>
      </c>
      <c r="H138" s="7">
        <v>500</v>
      </c>
      <c r="I138" s="9">
        <v>5</v>
      </c>
      <c r="J138" s="10">
        <f>SALCE[[#This Row],[After_Discount]]*SALCE[[#This Row],[Tax_%]]/100</f>
        <v>4.6550000000000002</v>
      </c>
      <c r="K138" s="11">
        <v>0.14000000000000001</v>
      </c>
      <c r="L138" s="10">
        <f>SALCE[[#This Row],[Quantity]]*SALCE[[#This Row],[Unit_Price]]</f>
        <v>3500</v>
      </c>
      <c r="M138" s="10">
        <f>SALCE[[#This Row],[Gross_Sales]]*SALCE[[#This Row],[Discount_%]]/100</f>
        <v>175</v>
      </c>
      <c r="N138" s="10">
        <f>SALCE[[#This Row],[After_Discount]]+SALCE[[#This Row],[Tax_Value]]</f>
        <v>3329.6550000000002</v>
      </c>
      <c r="O138" s="10">
        <f>SALCE[[#This Row],[Gross_Sales]]*70%</f>
        <v>2450</v>
      </c>
      <c r="P138" s="10">
        <f>SALCE[[#This Row],[Net_Sales]]-SALCE[[#This Row],[Cost_Price]]</f>
        <v>879.6550000000002</v>
      </c>
      <c r="Q138" s="10">
        <f>SALCE[[#This Row],[Gross_Sales]]-SALCE[[#This Row],[Discount_Value]]</f>
        <v>3325</v>
      </c>
      <c r="R138" s="15" t="s">
        <v>50</v>
      </c>
      <c r="S138" s="15" t="s">
        <v>26</v>
      </c>
      <c r="T138" s="15" t="s">
        <v>27</v>
      </c>
    </row>
    <row r="139" spans="1:20" s="12" customFormat="1" ht="30" customHeight="1" thickTop="1" thickBot="1" x14ac:dyDescent="0.4">
      <c r="A139" s="7">
        <v>1138</v>
      </c>
      <c r="B139" s="8">
        <v>45795</v>
      </c>
      <c r="C139" s="14" t="s">
        <v>39</v>
      </c>
      <c r="D139" s="14" t="s">
        <v>29</v>
      </c>
      <c r="E139" s="14" t="s">
        <v>31</v>
      </c>
      <c r="F139" s="14" t="s">
        <v>32</v>
      </c>
      <c r="G139" s="7">
        <v>10</v>
      </c>
      <c r="H139" s="7">
        <v>15000</v>
      </c>
      <c r="I139" s="9">
        <v>5</v>
      </c>
      <c r="J139" s="10">
        <f>SALCE[[#This Row],[After_Discount]]*SALCE[[#This Row],[Tax_%]]/100</f>
        <v>199.50000000000003</v>
      </c>
      <c r="K139" s="11">
        <v>0.14000000000000001</v>
      </c>
      <c r="L139" s="10">
        <f>SALCE[[#This Row],[Quantity]]*SALCE[[#This Row],[Unit_Price]]</f>
        <v>150000</v>
      </c>
      <c r="M139" s="10">
        <f>SALCE[[#This Row],[Gross_Sales]]*SALCE[[#This Row],[Discount_%]]/100</f>
        <v>7500</v>
      </c>
      <c r="N139" s="10">
        <f>SALCE[[#This Row],[After_Discount]]+SALCE[[#This Row],[Tax_Value]]</f>
        <v>142699.5</v>
      </c>
      <c r="O139" s="10">
        <f>SALCE[[#This Row],[Gross_Sales]]*70%</f>
        <v>105000</v>
      </c>
      <c r="P139" s="10">
        <f>SALCE[[#This Row],[Net_Sales]]-SALCE[[#This Row],[Cost_Price]]</f>
        <v>37699.5</v>
      </c>
      <c r="Q139" s="10">
        <f>SALCE[[#This Row],[Gross_Sales]]-SALCE[[#This Row],[Discount_Value]]</f>
        <v>142500</v>
      </c>
      <c r="R139" s="15" t="s">
        <v>57</v>
      </c>
      <c r="S139" s="15" t="s">
        <v>37</v>
      </c>
      <c r="T139" s="15" t="s">
        <v>22</v>
      </c>
    </row>
    <row r="140" spans="1:20" s="12" customFormat="1" ht="30" customHeight="1" thickTop="1" thickBot="1" x14ac:dyDescent="0.4">
      <c r="A140" s="7">
        <v>1139</v>
      </c>
      <c r="B140" s="8">
        <v>45796</v>
      </c>
      <c r="C140" s="14" t="s">
        <v>23</v>
      </c>
      <c r="D140" s="14" t="s">
        <v>24</v>
      </c>
      <c r="E140" s="14" t="s">
        <v>40</v>
      </c>
      <c r="F140" s="14" t="s">
        <v>20</v>
      </c>
      <c r="G140" s="7">
        <v>8</v>
      </c>
      <c r="H140" s="7">
        <v>800</v>
      </c>
      <c r="I140" s="9">
        <v>5</v>
      </c>
      <c r="J140" s="10">
        <f>SALCE[[#This Row],[After_Discount]]*SALCE[[#This Row],[Tax_%]]/100</f>
        <v>8.5120000000000005</v>
      </c>
      <c r="K140" s="11">
        <v>0.14000000000000001</v>
      </c>
      <c r="L140" s="10">
        <f>SALCE[[#This Row],[Quantity]]*SALCE[[#This Row],[Unit_Price]]</f>
        <v>6400</v>
      </c>
      <c r="M140" s="10">
        <f>SALCE[[#This Row],[Gross_Sales]]*SALCE[[#This Row],[Discount_%]]/100</f>
        <v>320</v>
      </c>
      <c r="N140" s="10">
        <f>SALCE[[#This Row],[After_Discount]]+SALCE[[#This Row],[Tax_Value]]</f>
        <v>6088.5119999999997</v>
      </c>
      <c r="O140" s="10">
        <f>SALCE[[#This Row],[Gross_Sales]]*70%</f>
        <v>4480</v>
      </c>
      <c r="P140" s="10">
        <f>SALCE[[#This Row],[Net_Sales]]-SALCE[[#This Row],[Cost_Price]]</f>
        <v>1608.5119999999997</v>
      </c>
      <c r="Q140" s="10">
        <f>SALCE[[#This Row],[Gross_Sales]]-SALCE[[#This Row],[Discount_Value]]</f>
        <v>6080</v>
      </c>
      <c r="R140" s="15" t="s">
        <v>59</v>
      </c>
      <c r="S140" s="15" t="s">
        <v>21</v>
      </c>
      <c r="T140" s="15" t="s">
        <v>27</v>
      </c>
    </row>
    <row r="141" spans="1:20" s="12" customFormat="1" ht="30" customHeight="1" thickTop="1" thickBot="1" x14ac:dyDescent="0.4">
      <c r="A141" s="7">
        <v>1140</v>
      </c>
      <c r="B141" s="8">
        <v>45797</v>
      </c>
      <c r="C141" s="14" t="s">
        <v>39</v>
      </c>
      <c r="D141" s="14" t="s">
        <v>18</v>
      </c>
      <c r="E141" s="14" t="s">
        <v>33</v>
      </c>
      <c r="F141" s="14" t="s">
        <v>32</v>
      </c>
      <c r="G141" s="7">
        <v>10</v>
      </c>
      <c r="H141" s="7">
        <v>6000</v>
      </c>
      <c r="I141" s="9">
        <v>10</v>
      </c>
      <c r="J141" s="10">
        <f>SALCE[[#This Row],[After_Discount]]*SALCE[[#This Row],[Tax_%]]/100</f>
        <v>75.600000000000009</v>
      </c>
      <c r="K141" s="11">
        <v>0.14000000000000001</v>
      </c>
      <c r="L141" s="10">
        <f>SALCE[[#This Row],[Quantity]]*SALCE[[#This Row],[Unit_Price]]</f>
        <v>60000</v>
      </c>
      <c r="M141" s="10">
        <f>SALCE[[#This Row],[Gross_Sales]]*SALCE[[#This Row],[Discount_%]]/100</f>
        <v>6000</v>
      </c>
      <c r="N141" s="10">
        <f>SALCE[[#This Row],[After_Discount]]+SALCE[[#This Row],[Tax_Value]]</f>
        <v>54075.6</v>
      </c>
      <c r="O141" s="10">
        <f>SALCE[[#This Row],[Gross_Sales]]*70%</f>
        <v>42000</v>
      </c>
      <c r="P141" s="10">
        <f>SALCE[[#This Row],[Net_Sales]]-SALCE[[#This Row],[Cost_Price]]</f>
        <v>12075.599999999999</v>
      </c>
      <c r="Q141" s="10">
        <f>SALCE[[#This Row],[Gross_Sales]]-SALCE[[#This Row],[Discount_Value]]</f>
        <v>54000</v>
      </c>
      <c r="R141" s="15" t="s">
        <v>60</v>
      </c>
      <c r="S141" s="15" t="s">
        <v>21</v>
      </c>
      <c r="T141" s="15" t="s">
        <v>27</v>
      </c>
    </row>
    <row r="142" spans="1:20" s="12" customFormat="1" ht="30" customHeight="1" thickTop="1" thickBot="1" x14ac:dyDescent="0.4">
      <c r="A142" s="7">
        <v>1141</v>
      </c>
      <c r="B142" s="8">
        <v>45798</v>
      </c>
      <c r="C142" s="14" t="s">
        <v>39</v>
      </c>
      <c r="D142" s="14" t="s">
        <v>29</v>
      </c>
      <c r="E142" s="14" t="s">
        <v>40</v>
      </c>
      <c r="F142" s="14" t="s">
        <v>20</v>
      </c>
      <c r="G142" s="7">
        <v>2</v>
      </c>
      <c r="H142" s="7">
        <v>800</v>
      </c>
      <c r="I142" s="9">
        <v>0</v>
      </c>
      <c r="J142" s="10">
        <f>SALCE[[#This Row],[After_Discount]]*SALCE[[#This Row],[Tax_%]]/100</f>
        <v>2.2400000000000002</v>
      </c>
      <c r="K142" s="11">
        <v>0.14000000000000001</v>
      </c>
      <c r="L142" s="10">
        <f>SALCE[[#This Row],[Quantity]]*SALCE[[#This Row],[Unit_Price]]</f>
        <v>1600</v>
      </c>
      <c r="M142" s="10">
        <f>SALCE[[#This Row],[Gross_Sales]]*SALCE[[#This Row],[Discount_%]]/100</f>
        <v>0</v>
      </c>
      <c r="N142" s="10">
        <f>SALCE[[#This Row],[After_Discount]]+SALCE[[#This Row],[Tax_Value]]</f>
        <v>1602.24</v>
      </c>
      <c r="O142" s="10">
        <f>SALCE[[#This Row],[Gross_Sales]]*70%</f>
        <v>1120</v>
      </c>
      <c r="P142" s="10">
        <f>SALCE[[#This Row],[Net_Sales]]-SALCE[[#This Row],[Cost_Price]]</f>
        <v>482.24</v>
      </c>
      <c r="Q142" s="10">
        <f>SALCE[[#This Row],[Gross_Sales]]-SALCE[[#This Row],[Discount_Value]]</f>
        <v>1600</v>
      </c>
      <c r="R142" s="15" t="s">
        <v>60</v>
      </c>
      <c r="S142" s="15" t="s">
        <v>37</v>
      </c>
      <c r="T142" s="15" t="s">
        <v>22</v>
      </c>
    </row>
    <row r="143" spans="1:20" s="12" customFormat="1" ht="30" customHeight="1" thickTop="1" thickBot="1" x14ac:dyDescent="0.4">
      <c r="A143" s="7">
        <v>1142</v>
      </c>
      <c r="B143" s="8">
        <v>45799</v>
      </c>
      <c r="C143" s="14" t="s">
        <v>39</v>
      </c>
      <c r="D143" s="14" t="s">
        <v>18</v>
      </c>
      <c r="E143" s="14" t="s">
        <v>40</v>
      </c>
      <c r="F143" s="14" t="s">
        <v>20</v>
      </c>
      <c r="G143" s="7">
        <v>5</v>
      </c>
      <c r="H143" s="7">
        <v>800</v>
      </c>
      <c r="I143" s="9">
        <v>5</v>
      </c>
      <c r="J143" s="10">
        <f>SALCE[[#This Row],[After_Discount]]*SALCE[[#This Row],[Tax_%]]/100</f>
        <v>5.32</v>
      </c>
      <c r="K143" s="11">
        <v>0.14000000000000001</v>
      </c>
      <c r="L143" s="10">
        <f>SALCE[[#This Row],[Quantity]]*SALCE[[#This Row],[Unit_Price]]</f>
        <v>4000</v>
      </c>
      <c r="M143" s="10">
        <f>SALCE[[#This Row],[Gross_Sales]]*SALCE[[#This Row],[Discount_%]]/100</f>
        <v>200</v>
      </c>
      <c r="N143" s="10">
        <f>SALCE[[#This Row],[After_Discount]]+SALCE[[#This Row],[Tax_Value]]</f>
        <v>3805.32</v>
      </c>
      <c r="O143" s="10">
        <f>SALCE[[#This Row],[Gross_Sales]]*70%</f>
        <v>2800</v>
      </c>
      <c r="P143" s="10">
        <f>SALCE[[#This Row],[Net_Sales]]-SALCE[[#This Row],[Cost_Price]]</f>
        <v>1005.3200000000002</v>
      </c>
      <c r="Q143" s="10">
        <f>SALCE[[#This Row],[Gross_Sales]]-SALCE[[#This Row],[Discount_Value]]</f>
        <v>3800</v>
      </c>
      <c r="R143" s="15" t="s">
        <v>52</v>
      </c>
      <c r="S143" s="15" t="s">
        <v>21</v>
      </c>
      <c r="T143" s="15" t="s">
        <v>27</v>
      </c>
    </row>
    <row r="144" spans="1:20" s="12" customFormat="1" ht="30" customHeight="1" thickTop="1" thickBot="1" x14ac:dyDescent="0.4">
      <c r="A144" s="7">
        <v>1143</v>
      </c>
      <c r="B144" s="8">
        <v>45800</v>
      </c>
      <c r="C144" s="14" t="s">
        <v>17</v>
      </c>
      <c r="D144" s="14" t="s">
        <v>24</v>
      </c>
      <c r="E144" s="14" t="s">
        <v>40</v>
      </c>
      <c r="F144" s="14" t="s">
        <v>20</v>
      </c>
      <c r="G144" s="7">
        <v>4</v>
      </c>
      <c r="H144" s="7">
        <v>800</v>
      </c>
      <c r="I144" s="9">
        <v>15</v>
      </c>
      <c r="J144" s="10">
        <f>SALCE[[#This Row],[After_Discount]]*SALCE[[#This Row],[Tax_%]]/100</f>
        <v>3.8080000000000003</v>
      </c>
      <c r="K144" s="11">
        <v>0.14000000000000001</v>
      </c>
      <c r="L144" s="10">
        <f>SALCE[[#This Row],[Quantity]]*SALCE[[#This Row],[Unit_Price]]</f>
        <v>3200</v>
      </c>
      <c r="M144" s="10">
        <f>SALCE[[#This Row],[Gross_Sales]]*SALCE[[#This Row],[Discount_%]]/100</f>
        <v>480</v>
      </c>
      <c r="N144" s="10">
        <f>SALCE[[#This Row],[After_Discount]]+SALCE[[#This Row],[Tax_Value]]</f>
        <v>2723.808</v>
      </c>
      <c r="O144" s="10">
        <f>SALCE[[#This Row],[Gross_Sales]]*70%</f>
        <v>2240</v>
      </c>
      <c r="P144" s="10">
        <f>SALCE[[#This Row],[Net_Sales]]-SALCE[[#This Row],[Cost_Price]]</f>
        <v>483.80799999999999</v>
      </c>
      <c r="Q144" s="10">
        <f>SALCE[[#This Row],[Gross_Sales]]-SALCE[[#This Row],[Discount_Value]]</f>
        <v>2720</v>
      </c>
      <c r="R144" s="15" t="s">
        <v>57</v>
      </c>
      <c r="S144" s="15" t="s">
        <v>21</v>
      </c>
      <c r="T144" s="15" t="s">
        <v>27</v>
      </c>
    </row>
    <row r="145" spans="1:20" s="12" customFormat="1" ht="30" customHeight="1" thickTop="1" thickBot="1" x14ac:dyDescent="0.4">
      <c r="A145" s="7">
        <v>1144</v>
      </c>
      <c r="B145" s="8">
        <v>45801</v>
      </c>
      <c r="C145" s="14" t="s">
        <v>39</v>
      </c>
      <c r="D145" s="14" t="s">
        <v>24</v>
      </c>
      <c r="E145" s="14" t="s">
        <v>31</v>
      </c>
      <c r="F145" s="14" t="s">
        <v>32</v>
      </c>
      <c r="G145" s="7">
        <v>8</v>
      </c>
      <c r="H145" s="7">
        <v>15000</v>
      </c>
      <c r="I145" s="9">
        <v>10</v>
      </c>
      <c r="J145" s="10">
        <f>SALCE[[#This Row],[After_Discount]]*SALCE[[#This Row],[Tax_%]]/100</f>
        <v>151.20000000000002</v>
      </c>
      <c r="K145" s="11">
        <v>0.14000000000000001</v>
      </c>
      <c r="L145" s="10">
        <f>SALCE[[#This Row],[Quantity]]*SALCE[[#This Row],[Unit_Price]]</f>
        <v>120000</v>
      </c>
      <c r="M145" s="10">
        <f>SALCE[[#This Row],[Gross_Sales]]*SALCE[[#This Row],[Discount_%]]/100</f>
        <v>12000</v>
      </c>
      <c r="N145" s="10">
        <f>SALCE[[#This Row],[After_Discount]]+SALCE[[#This Row],[Tax_Value]]</f>
        <v>108151.2</v>
      </c>
      <c r="O145" s="10">
        <f>SALCE[[#This Row],[Gross_Sales]]*70%</f>
        <v>84000</v>
      </c>
      <c r="P145" s="10">
        <f>SALCE[[#This Row],[Net_Sales]]-SALCE[[#This Row],[Cost_Price]]</f>
        <v>24151.199999999997</v>
      </c>
      <c r="Q145" s="10">
        <f>SALCE[[#This Row],[Gross_Sales]]-SALCE[[#This Row],[Discount_Value]]</f>
        <v>108000</v>
      </c>
      <c r="R145" s="15" t="s">
        <v>57</v>
      </c>
      <c r="S145" s="15" t="s">
        <v>37</v>
      </c>
      <c r="T145" s="15" t="s">
        <v>27</v>
      </c>
    </row>
    <row r="146" spans="1:20" s="12" customFormat="1" ht="30" customHeight="1" thickTop="1" thickBot="1" x14ac:dyDescent="0.4">
      <c r="A146" s="7">
        <v>1145</v>
      </c>
      <c r="B146" s="8">
        <v>45802</v>
      </c>
      <c r="C146" s="14" t="s">
        <v>17</v>
      </c>
      <c r="D146" s="14" t="s">
        <v>36</v>
      </c>
      <c r="E146" s="14" t="s">
        <v>40</v>
      </c>
      <c r="F146" s="14" t="s">
        <v>20</v>
      </c>
      <c r="G146" s="7">
        <v>7</v>
      </c>
      <c r="H146" s="7">
        <v>800</v>
      </c>
      <c r="I146" s="9">
        <v>0</v>
      </c>
      <c r="J146" s="10">
        <f>SALCE[[#This Row],[After_Discount]]*SALCE[[#This Row],[Tax_%]]/100</f>
        <v>7.8400000000000007</v>
      </c>
      <c r="K146" s="11">
        <v>0.14000000000000001</v>
      </c>
      <c r="L146" s="10">
        <f>SALCE[[#This Row],[Quantity]]*SALCE[[#This Row],[Unit_Price]]</f>
        <v>5600</v>
      </c>
      <c r="M146" s="10">
        <f>SALCE[[#This Row],[Gross_Sales]]*SALCE[[#This Row],[Discount_%]]/100</f>
        <v>0</v>
      </c>
      <c r="N146" s="10">
        <f>SALCE[[#This Row],[After_Discount]]+SALCE[[#This Row],[Tax_Value]]</f>
        <v>5607.84</v>
      </c>
      <c r="O146" s="10">
        <f>SALCE[[#This Row],[Gross_Sales]]*70%</f>
        <v>3919.9999999999995</v>
      </c>
      <c r="P146" s="10">
        <f>SALCE[[#This Row],[Net_Sales]]-SALCE[[#This Row],[Cost_Price]]</f>
        <v>1687.8400000000006</v>
      </c>
      <c r="Q146" s="10">
        <f>SALCE[[#This Row],[Gross_Sales]]-SALCE[[#This Row],[Discount_Value]]</f>
        <v>5600</v>
      </c>
      <c r="R146" s="15" t="s">
        <v>62</v>
      </c>
      <c r="S146" s="15" t="s">
        <v>21</v>
      </c>
      <c r="T146" s="15" t="s">
        <v>27</v>
      </c>
    </row>
    <row r="147" spans="1:20" s="12" customFormat="1" ht="30" customHeight="1" thickTop="1" thickBot="1" x14ac:dyDescent="0.4">
      <c r="A147" s="7">
        <v>1146</v>
      </c>
      <c r="B147" s="8">
        <v>45803</v>
      </c>
      <c r="C147" s="14" t="s">
        <v>30</v>
      </c>
      <c r="D147" s="14" t="s">
        <v>38</v>
      </c>
      <c r="E147" s="14" t="s">
        <v>31</v>
      </c>
      <c r="F147" s="14" t="s">
        <v>32</v>
      </c>
      <c r="G147" s="7">
        <v>6</v>
      </c>
      <c r="H147" s="7">
        <v>15000</v>
      </c>
      <c r="I147" s="9">
        <v>10</v>
      </c>
      <c r="J147" s="10">
        <f>SALCE[[#This Row],[After_Discount]]*SALCE[[#This Row],[Tax_%]]/100</f>
        <v>113.40000000000002</v>
      </c>
      <c r="K147" s="11">
        <v>0.14000000000000001</v>
      </c>
      <c r="L147" s="10">
        <f>SALCE[[#This Row],[Quantity]]*SALCE[[#This Row],[Unit_Price]]</f>
        <v>90000</v>
      </c>
      <c r="M147" s="10">
        <f>SALCE[[#This Row],[Gross_Sales]]*SALCE[[#This Row],[Discount_%]]/100</f>
        <v>9000</v>
      </c>
      <c r="N147" s="10">
        <f>SALCE[[#This Row],[After_Discount]]+SALCE[[#This Row],[Tax_Value]]</f>
        <v>81113.399999999994</v>
      </c>
      <c r="O147" s="10">
        <f>SALCE[[#This Row],[Gross_Sales]]*70%</f>
        <v>62999.999999999993</v>
      </c>
      <c r="P147" s="10">
        <f>SALCE[[#This Row],[Net_Sales]]-SALCE[[#This Row],[Cost_Price]]</f>
        <v>18113.400000000001</v>
      </c>
      <c r="Q147" s="10">
        <f>SALCE[[#This Row],[Gross_Sales]]-SALCE[[#This Row],[Discount_Value]]</f>
        <v>81000</v>
      </c>
      <c r="R147" s="15" t="s">
        <v>50</v>
      </c>
      <c r="S147" s="15" t="s">
        <v>26</v>
      </c>
      <c r="T147" s="15" t="s">
        <v>22</v>
      </c>
    </row>
    <row r="148" spans="1:20" s="12" customFormat="1" ht="30" customHeight="1" thickTop="1" thickBot="1" x14ac:dyDescent="0.4">
      <c r="A148" s="7">
        <v>1147</v>
      </c>
      <c r="B148" s="8">
        <v>45804</v>
      </c>
      <c r="C148" s="14" t="s">
        <v>23</v>
      </c>
      <c r="D148" s="14" t="s">
        <v>41</v>
      </c>
      <c r="E148" s="14" t="s">
        <v>19</v>
      </c>
      <c r="F148" s="14" t="s">
        <v>20</v>
      </c>
      <c r="G148" s="7">
        <v>3</v>
      </c>
      <c r="H148" s="7">
        <v>300</v>
      </c>
      <c r="I148" s="9">
        <v>10</v>
      </c>
      <c r="J148" s="10">
        <f>SALCE[[#This Row],[After_Discount]]*SALCE[[#This Row],[Tax_%]]/100</f>
        <v>1.1340000000000001</v>
      </c>
      <c r="K148" s="11">
        <v>0.14000000000000001</v>
      </c>
      <c r="L148" s="10">
        <f>SALCE[[#This Row],[Quantity]]*SALCE[[#This Row],[Unit_Price]]</f>
        <v>900</v>
      </c>
      <c r="M148" s="10">
        <f>SALCE[[#This Row],[Gross_Sales]]*SALCE[[#This Row],[Discount_%]]/100</f>
        <v>90</v>
      </c>
      <c r="N148" s="10">
        <f>SALCE[[#This Row],[After_Discount]]+SALCE[[#This Row],[Tax_Value]]</f>
        <v>811.13400000000001</v>
      </c>
      <c r="O148" s="10">
        <f>SALCE[[#This Row],[Gross_Sales]]*70%</f>
        <v>630</v>
      </c>
      <c r="P148" s="10">
        <f>SALCE[[#This Row],[Net_Sales]]-SALCE[[#This Row],[Cost_Price]]</f>
        <v>181.13400000000001</v>
      </c>
      <c r="Q148" s="10">
        <f>SALCE[[#This Row],[Gross_Sales]]-SALCE[[#This Row],[Discount_Value]]</f>
        <v>810</v>
      </c>
      <c r="R148" s="15" t="s">
        <v>50</v>
      </c>
      <c r="S148" s="15" t="s">
        <v>26</v>
      </c>
      <c r="T148" s="15" t="s">
        <v>22</v>
      </c>
    </row>
    <row r="149" spans="1:20" s="12" customFormat="1" ht="30" customHeight="1" thickTop="1" thickBot="1" x14ac:dyDescent="0.4">
      <c r="A149" s="7">
        <v>1148</v>
      </c>
      <c r="B149" s="8">
        <v>45805</v>
      </c>
      <c r="C149" s="14" t="s">
        <v>23</v>
      </c>
      <c r="D149" s="14" t="s">
        <v>29</v>
      </c>
      <c r="E149" s="14" t="s">
        <v>25</v>
      </c>
      <c r="F149" s="14" t="s">
        <v>20</v>
      </c>
      <c r="G149" s="7">
        <v>10</v>
      </c>
      <c r="H149" s="7">
        <v>500</v>
      </c>
      <c r="I149" s="9">
        <v>0</v>
      </c>
      <c r="J149" s="10">
        <f>SALCE[[#This Row],[After_Discount]]*SALCE[[#This Row],[Tax_%]]/100</f>
        <v>7.0000000000000009</v>
      </c>
      <c r="K149" s="11">
        <v>0.14000000000000001</v>
      </c>
      <c r="L149" s="10">
        <f>SALCE[[#This Row],[Quantity]]*SALCE[[#This Row],[Unit_Price]]</f>
        <v>5000</v>
      </c>
      <c r="M149" s="10">
        <f>SALCE[[#This Row],[Gross_Sales]]*SALCE[[#This Row],[Discount_%]]/100</f>
        <v>0</v>
      </c>
      <c r="N149" s="10">
        <f>SALCE[[#This Row],[After_Discount]]+SALCE[[#This Row],[Tax_Value]]</f>
        <v>5007</v>
      </c>
      <c r="O149" s="10">
        <f>SALCE[[#This Row],[Gross_Sales]]*70%</f>
        <v>3500</v>
      </c>
      <c r="P149" s="10">
        <f>SALCE[[#This Row],[Net_Sales]]-SALCE[[#This Row],[Cost_Price]]</f>
        <v>1507</v>
      </c>
      <c r="Q149" s="10">
        <f>SALCE[[#This Row],[Gross_Sales]]-SALCE[[#This Row],[Discount_Value]]</f>
        <v>5000</v>
      </c>
      <c r="R149" s="15" t="s">
        <v>50</v>
      </c>
      <c r="S149" s="15" t="s">
        <v>21</v>
      </c>
      <c r="T149" s="15" t="s">
        <v>27</v>
      </c>
    </row>
    <row r="150" spans="1:20" s="12" customFormat="1" ht="30" customHeight="1" thickTop="1" thickBot="1" x14ac:dyDescent="0.4">
      <c r="A150" s="7">
        <v>1149</v>
      </c>
      <c r="B150" s="8">
        <v>45806</v>
      </c>
      <c r="C150" s="14" t="s">
        <v>35</v>
      </c>
      <c r="D150" s="14" t="s">
        <v>36</v>
      </c>
      <c r="E150" s="14" t="s">
        <v>34</v>
      </c>
      <c r="F150" s="14" t="s">
        <v>32</v>
      </c>
      <c r="G150" s="7">
        <v>1</v>
      </c>
      <c r="H150" s="7">
        <v>4000</v>
      </c>
      <c r="I150" s="9">
        <v>15</v>
      </c>
      <c r="J150" s="10">
        <f>SALCE[[#This Row],[After_Discount]]*SALCE[[#This Row],[Tax_%]]/100</f>
        <v>4.7600000000000007</v>
      </c>
      <c r="K150" s="11">
        <v>0.14000000000000001</v>
      </c>
      <c r="L150" s="10">
        <f>SALCE[[#This Row],[Quantity]]*SALCE[[#This Row],[Unit_Price]]</f>
        <v>4000</v>
      </c>
      <c r="M150" s="10">
        <f>SALCE[[#This Row],[Gross_Sales]]*SALCE[[#This Row],[Discount_%]]/100</f>
        <v>600</v>
      </c>
      <c r="N150" s="10">
        <f>SALCE[[#This Row],[After_Discount]]+SALCE[[#This Row],[Tax_Value]]</f>
        <v>3404.76</v>
      </c>
      <c r="O150" s="10">
        <f>SALCE[[#This Row],[Gross_Sales]]*70%</f>
        <v>2800</v>
      </c>
      <c r="P150" s="10">
        <f>SALCE[[#This Row],[Net_Sales]]-SALCE[[#This Row],[Cost_Price]]</f>
        <v>604.76000000000022</v>
      </c>
      <c r="Q150" s="10">
        <f>SALCE[[#This Row],[Gross_Sales]]-SALCE[[#This Row],[Discount_Value]]</f>
        <v>3400</v>
      </c>
      <c r="R150" s="15" t="s">
        <v>52</v>
      </c>
      <c r="S150" s="15" t="s">
        <v>37</v>
      </c>
      <c r="T150" s="15" t="s">
        <v>27</v>
      </c>
    </row>
    <row r="151" spans="1:20" s="12" customFormat="1" ht="30" customHeight="1" thickTop="1" thickBot="1" x14ac:dyDescent="0.4">
      <c r="A151" s="7">
        <v>1150</v>
      </c>
      <c r="B151" s="8">
        <v>45807</v>
      </c>
      <c r="C151" s="14" t="s">
        <v>28</v>
      </c>
      <c r="D151" s="14" t="s">
        <v>41</v>
      </c>
      <c r="E151" s="14" t="s">
        <v>33</v>
      </c>
      <c r="F151" s="14" t="s">
        <v>32</v>
      </c>
      <c r="G151" s="7">
        <v>1</v>
      </c>
      <c r="H151" s="7">
        <v>6000</v>
      </c>
      <c r="I151" s="9">
        <v>10</v>
      </c>
      <c r="J151" s="10">
        <f>SALCE[[#This Row],[After_Discount]]*SALCE[[#This Row],[Tax_%]]/100</f>
        <v>7.5600000000000014</v>
      </c>
      <c r="K151" s="11">
        <v>0.14000000000000001</v>
      </c>
      <c r="L151" s="10">
        <f>SALCE[[#This Row],[Quantity]]*SALCE[[#This Row],[Unit_Price]]</f>
        <v>6000</v>
      </c>
      <c r="M151" s="10">
        <f>SALCE[[#This Row],[Gross_Sales]]*SALCE[[#This Row],[Discount_%]]/100</f>
        <v>600</v>
      </c>
      <c r="N151" s="10">
        <f>SALCE[[#This Row],[After_Discount]]+SALCE[[#This Row],[Tax_Value]]</f>
        <v>5407.56</v>
      </c>
      <c r="O151" s="10">
        <f>SALCE[[#This Row],[Gross_Sales]]*70%</f>
        <v>4200</v>
      </c>
      <c r="P151" s="10">
        <f>SALCE[[#This Row],[Net_Sales]]-SALCE[[#This Row],[Cost_Price]]</f>
        <v>1207.5600000000004</v>
      </c>
      <c r="Q151" s="10">
        <f>SALCE[[#This Row],[Gross_Sales]]-SALCE[[#This Row],[Discount_Value]]</f>
        <v>5400</v>
      </c>
      <c r="R151" s="15" t="s">
        <v>50</v>
      </c>
      <c r="S151" s="15" t="s">
        <v>21</v>
      </c>
      <c r="T151" s="15" t="s">
        <v>27</v>
      </c>
    </row>
    <row r="152" spans="1:20" s="12" customFormat="1" ht="30" customHeight="1" thickTop="1" thickBot="1" x14ac:dyDescent="0.4">
      <c r="A152" s="7">
        <v>1151</v>
      </c>
      <c r="B152" s="8">
        <v>45808</v>
      </c>
      <c r="C152" s="14" t="s">
        <v>28</v>
      </c>
      <c r="D152" s="14" t="s">
        <v>41</v>
      </c>
      <c r="E152" s="14" t="s">
        <v>33</v>
      </c>
      <c r="F152" s="14" t="s">
        <v>32</v>
      </c>
      <c r="G152" s="7">
        <v>8</v>
      </c>
      <c r="H152" s="7">
        <v>6000</v>
      </c>
      <c r="I152" s="9">
        <v>5</v>
      </c>
      <c r="J152" s="10">
        <f>SALCE[[#This Row],[After_Discount]]*SALCE[[#This Row],[Tax_%]]/100</f>
        <v>63.840000000000011</v>
      </c>
      <c r="K152" s="11">
        <v>0.14000000000000001</v>
      </c>
      <c r="L152" s="10">
        <f>SALCE[[#This Row],[Quantity]]*SALCE[[#This Row],[Unit_Price]]</f>
        <v>48000</v>
      </c>
      <c r="M152" s="10">
        <f>SALCE[[#This Row],[Gross_Sales]]*SALCE[[#This Row],[Discount_%]]/100</f>
        <v>2400</v>
      </c>
      <c r="N152" s="10">
        <f>SALCE[[#This Row],[After_Discount]]+SALCE[[#This Row],[Tax_Value]]</f>
        <v>45663.839999999997</v>
      </c>
      <c r="O152" s="10">
        <f>SALCE[[#This Row],[Gross_Sales]]*70%</f>
        <v>33600</v>
      </c>
      <c r="P152" s="10">
        <f>SALCE[[#This Row],[Net_Sales]]-SALCE[[#This Row],[Cost_Price]]</f>
        <v>12063.839999999997</v>
      </c>
      <c r="Q152" s="10">
        <f>SALCE[[#This Row],[Gross_Sales]]-SALCE[[#This Row],[Discount_Value]]</f>
        <v>45600</v>
      </c>
      <c r="R152" s="15" t="s">
        <v>58</v>
      </c>
      <c r="S152" s="15" t="s">
        <v>37</v>
      </c>
      <c r="T152" s="15" t="s">
        <v>22</v>
      </c>
    </row>
    <row r="153" spans="1:20" s="12" customFormat="1" ht="30" customHeight="1" thickTop="1" thickBot="1" x14ac:dyDescent="0.4">
      <c r="A153" s="7">
        <v>1152</v>
      </c>
      <c r="B153" s="8">
        <v>45809</v>
      </c>
      <c r="C153" s="14" t="s">
        <v>28</v>
      </c>
      <c r="D153" s="14" t="s">
        <v>24</v>
      </c>
      <c r="E153" s="14" t="s">
        <v>40</v>
      </c>
      <c r="F153" s="14" t="s">
        <v>20</v>
      </c>
      <c r="G153" s="7">
        <v>1</v>
      </c>
      <c r="H153" s="7">
        <v>800</v>
      </c>
      <c r="I153" s="9">
        <v>5</v>
      </c>
      <c r="J153" s="10">
        <f>SALCE[[#This Row],[After_Discount]]*SALCE[[#This Row],[Tax_%]]/100</f>
        <v>1.0640000000000001</v>
      </c>
      <c r="K153" s="11">
        <v>0.14000000000000001</v>
      </c>
      <c r="L153" s="10">
        <f>SALCE[[#This Row],[Quantity]]*SALCE[[#This Row],[Unit_Price]]</f>
        <v>800</v>
      </c>
      <c r="M153" s="10">
        <f>SALCE[[#This Row],[Gross_Sales]]*SALCE[[#This Row],[Discount_%]]/100</f>
        <v>40</v>
      </c>
      <c r="N153" s="10">
        <f>SALCE[[#This Row],[After_Discount]]+SALCE[[#This Row],[Tax_Value]]</f>
        <v>761.06399999999996</v>
      </c>
      <c r="O153" s="10">
        <f>SALCE[[#This Row],[Gross_Sales]]*70%</f>
        <v>560</v>
      </c>
      <c r="P153" s="10">
        <f>SALCE[[#This Row],[Net_Sales]]-SALCE[[#This Row],[Cost_Price]]</f>
        <v>201.06399999999996</v>
      </c>
      <c r="Q153" s="10">
        <f>SALCE[[#This Row],[Gross_Sales]]-SALCE[[#This Row],[Discount_Value]]</f>
        <v>760</v>
      </c>
      <c r="R153" s="15" t="s">
        <v>49</v>
      </c>
      <c r="S153" s="15" t="s">
        <v>26</v>
      </c>
      <c r="T153" s="15" t="s">
        <v>27</v>
      </c>
    </row>
    <row r="154" spans="1:20" s="12" customFormat="1" ht="30" customHeight="1" thickTop="1" thickBot="1" x14ac:dyDescent="0.4">
      <c r="A154" s="7">
        <v>1153</v>
      </c>
      <c r="B154" s="8">
        <v>45810</v>
      </c>
      <c r="C154" s="14" t="s">
        <v>39</v>
      </c>
      <c r="D154" s="14" t="s">
        <v>36</v>
      </c>
      <c r="E154" s="14" t="s">
        <v>19</v>
      </c>
      <c r="F154" s="14" t="s">
        <v>20</v>
      </c>
      <c r="G154" s="7">
        <v>7</v>
      </c>
      <c r="H154" s="7">
        <v>300</v>
      </c>
      <c r="I154" s="9">
        <v>10</v>
      </c>
      <c r="J154" s="10">
        <f>SALCE[[#This Row],[After_Discount]]*SALCE[[#This Row],[Tax_%]]/100</f>
        <v>2.6460000000000004</v>
      </c>
      <c r="K154" s="11">
        <v>0.14000000000000001</v>
      </c>
      <c r="L154" s="10">
        <f>SALCE[[#This Row],[Quantity]]*SALCE[[#This Row],[Unit_Price]]</f>
        <v>2100</v>
      </c>
      <c r="M154" s="10">
        <f>SALCE[[#This Row],[Gross_Sales]]*SALCE[[#This Row],[Discount_%]]/100</f>
        <v>210</v>
      </c>
      <c r="N154" s="10">
        <f>SALCE[[#This Row],[After_Discount]]+SALCE[[#This Row],[Tax_Value]]</f>
        <v>1892.646</v>
      </c>
      <c r="O154" s="10">
        <f>SALCE[[#This Row],[Gross_Sales]]*70%</f>
        <v>1470</v>
      </c>
      <c r="P154" s="10">
        <f>SALCE[[#This Row],[Net_Sales]]-SALCE[[#This Row],[Cost_Price]]</f>
        <v>422.64599999999996</v>
      </c>
      <c r="Q154" s="10">
        <f>SALCE[[#This Row],[Gross_Sales]]-SALCE[[#This Row],[Discount_Value]]</f>
        <v>1890</v>
      </c>
      <c r="R154" s="15" t="s">
        <v>47</v>
      </c>
      <c r="S154" s="15" t="s">
        <v>26</v>
      </c>
      <c r="T154" s="15" t="s">
        <v>27</v>
      </c>
    </row>
    <row r="155" spans="1:20" s="12" customFormat="1" ht="30" customHeight="1" thickTop="1" thickBot="1" x14ac:dyDescent="0.4">
      <c r="A155" s="7">
        <v>1154</v>
      </c>
      <c r="B155" s="8">
        <v>45811</v>
      </c>
      <c r="C155" s="14" t="s">
        <v>35</v>
      </c>
      <c r="D155" s="14" t="s">
        <v>36</v>
      </c>
      <c r="E155" s="14" t="s">
        <v>19</v>
      </c>
      <c r="F155" s="14" t="s">
        <v>20</v>
      </c>
      <c r="G155" s="7">
        <v>10</v>
      </c>
      <c r="H155" s="7">
        <v>300</v>
      </c>
      <c r="I155" s="9">
        <v>5</v>
      </c>
      <c r="J155" s="10">
        <f>SALCE[[#This Row],[After_Discount]]*SALCE[[#This Row],[Tax_%]]/100</f>
        <v>3.9900000000000007</v>
      </c>
      <c r="K155" s="11">
        <v>0.14000000000000001</v>
      </c>
      <c r="L155" s="10">
        <f>SALCE[[#This Row],[Quantity]]*SALCE[[#This Row],[Unit_Price]]</f>
        <v>3000</v>
      </c>
      <c r="M155" s="10">
        <f>SALCE[[#This Row],[Gross_Sales]]*SALCE[[#This Row],[Discount_%]]/100</f>
        <v>150</v>
      </c>
      <c r="N155" s="10">
        <f>SALCE[[#This Row],[After_Discount]]+SALCE[[#This Row],[Tax_Value]]</f>
        <v>2853.99</v>
      </c>
      <c r="O155" s="10">
        <f>SALCE[[#This Row],[Gross_Sales]]*70%</f>
        <v>2100</v>
      </c>
      <c r="P155" s="10">
        <f>SALCE[[#This Row],[Net_Sales]]-SALCE[[#This Row],[Cost_Price]]</f>
        <v>753.98999999999978</v>
      </c>
      <c r="Q155" s="10">
        <f>SALCE[[#This Row],[Gross_Sales]]-SALCE[[#This Row],[Discount_Value]]</f>
        <v>2850</v>
      </c>
      <c r="R155" s="15" t="s">
        <v>53</v>
      </c>
      <c r="S155" s="15" t="s">
        <v>37</v>
      </c>
      <c r="T155" s="15" t="s">
        <v>27</v>
      </c>
    </row>
    <row r="156" spans="1:20" s="12" customFormat="1" ht="30" customHeight="1" thickTop="1" thickBot="1" x14ac:dyDescent="0.4">
      <c r="A156" s="7">
        <v>1155</v>
      </c>
      <c r="B156" s="8">
        <v>45812</v>
      </c>
      <c r="C156" s="14" t="s">
        <v>39</v>
      </c>
      <c r="D156" s="14" t="s">
        <v>36</v>
      </c>
      <c r="E156" s="14" t="s">
        <v>40</v>
      </c>
      <c r="F156" s="14" t="s">
        <v>20</v>
      </c>
      <c r="G156" s="7">
        <v>6</v>
      </c>
      <c r="H156" s="7">
        <v>800</v>
      </c>
      <c r="I156" s="9">
        <v>5</v>
      </c>
      <c r="J156" s="10">
        <f>SALCE[[#This Row],[After_Discount]]*SALCE[[#This Row],[Tax_%]]/100</f>
        <v>6.3840000000000012</v>
      </c>
      <c r="K156" s="11">
        <v>0.14000000000000001</v>
      </c>
      <c r="L156" s="10">
        <f>SALCE[[#This Row],[Quantity]]*SALCE[[#This Row],[Unit_Price]]</f>
        <v>4800</v>
      </c>
      <c r="M156" s="10">
        <f>SALCE[[#This Row],[Gross_Sales]]*SALCE[[#This Row],[Discount_%]]/100</f>
        <v>240</v>
      </c>
      <c r="N156" s="10">
        <f>SALCE[[#This Row],[After_Discount]]+SALCE[[#This Row],[Tax_Value]]</f>
        <v>4566.384</v>
      </c>
      <c r="O156" s="10">
        <f>SALCE[[#This Row],[Gross_Sales]]*70%</f>
        <v>3360</v>
      </c>
      <c r="P156" s="10">
        <f>SALCE[[#This Row],[Net_Sales]]-SALCE[[#This Row],[Cost_Price]]</f>
        <v>1206.384</v>
      </c>
      <c r="Q156" s="10">
        <f>SALCE[[#This Row],[Gross_Sales]]-SALCE[[#This Row],[Discount_Value]]</f>
        <v>4560</v>
      </c>
      <c r="R156" s="15" t="s">
        <v>52</v>
      </c>
      <c r="S156" s="15" t="s">
        <v>21</v>
      </c>
      <c r="T156" s="15" t="s">
        <v>27</v>
      </c>
    </row>
    <row r="157" spans="1:20" s="12" customFormat="1" ht="30" customHeight="1" thickTop="1" thickBot="1" x14ac:dyDescent="0.4">
      <c r="A157" s="7">
        <v>1156</v>
      </c>
      <c r="B157" s="8">
        <v>45813</v>
      </c>
      <c r="C157" s="14" t="s">
        <v>30</v>
      </c>
      <c r="D157" s="14" t="s">
        <v>29</v>
      </c>
      <c r="E157" s="14" t="s">
        <v>31</v>
      </c>
      <c r="F157" s="14" t="s">
        <v>32</v>
      </c>
      <c r="G157" s="7">
        <v>10</v>
      </c>
      <c r="H157" s="7">
        <v>15000</v>
      </c>
      <c r="I157" s="9">
        <v>5</v>
      </c>
      <c r="J157" s="10">
        <f>SALCE[[#This Row],[After_Discount]]*SALCE[[#This Row],[Tax_%]]/100</f>
        <v>199.50000000000003</v>
      </c>
      <c r="K157" s="11">
        <v>0.14000000000000001</v>
      </c>
      <c r="L157" s="10">
        <f>SALCE[[#This Row],[Quantity]]*SALCE[[#This Row],[Unit_Price]]</f>
        <v>150000</v>
      </c>
      <c r="M157" s="10">
        <f>SALCE[[#This Row],[Gross_Sales]]*SALCE[[#This Row],[Discount_%]]/100</f>
        <v>7500</v>
      </c>
      <c r="N157" s="10">
        <f>SALCE[[#This Row],[After_Discount]]+SALCE[[#This Row],[Tax_Value]]</f>
        <v>142699.5</v>
      </c>
      <c r="O157" s="10">
        <f>SALCE[[#This Row],[Gross_Sales]]*70%</f>
        <v>105000</v>
      </c>
      <c r="P157" s="10">
        <f>SALCE[[#This Row],[Net_Sales]]-SALCE[[#This Row],[Cost_Price]]</f>
        <v>37699.5</v>
      </c>
      <c r="Q157" s="10">
        <f>SALCE[[#This Row],[Gross_Sales]]-SALCE[[#This Row],[Discount_Value]]</f>
        <v>142500</v>
      </c>
      <c r="R157" s="15" t="s">
        <v>52</v>
      </c>
      <c r="S157" s="15" t="s">
        <v>21</v>
      </c>
      <c r="T157" s="15" t="s">
        <v>22</v>
      </c>
    </row>
    <row r="158" spans="1:20" s="12" customFormat="1" ht="30" customHeight="1" thickTop="1" thickBot="1" x14ac:dyDescent="0.4">
      <c r="A158" s="7">
        <v>1157</v>
      </c>
      <c r="B158" s="8">
        <v>45814</v>
      </c>
      <c r="C158" s="14" t="s">
        <v>35</v>
      </c>
      <c r="D158" s="14" t="s">
        <v>24</v>
      </c>
      <c r="E158" s="14" t="s">
        <v>33</v>
      </c>
      <c r="F158" s="14" t="s">
        <v>32</v>
      </c>
      <c r="G158" s="7">
        <v>4</v>
      </c>
      <c r="H158" s="7">
        <v>6000</v>
      </c>
      <c r="I158" s="9">
        <v>0</v>
      </c>
      <c r="J158" s="10">
        <f>SALCE[[#This Row],[After_Discount]]*SALCE[[#This Row],[Tax_%]]/100</f>
        <v>33.6</v>
      </c>
      <c r="K158" s="11">
        <v>0.14000000000000001</v>
      </c>
      <c r="L158" s="10">
        <f>SALCE[[#This Row],[Quantity]]*SALCE[[#This Row],[Unit_Price]]</f>
        <v>24000</v>
      </c>
      <c r="M158" s="10">
        <f>SALCE[[#This Row],[Gross_Sales]]*SALCE[[#This Row],[Discount_%]]/100</f>
        <v>0</v>
      </c>
      <c r="N158" s="10">
        <f>SALCE[[#This Row],[After_Discount]]+SALCE[[#This Row],[Tax_Value]]</f>
        <v>24033.599999999999</v>
      </c>
      <c r="O158" s="10">
        <f>SALCE[[#This Row],[Gross_Sales]]*70%</f>
        <v>16800</v>
      </c>
      <c r="P158" s="10">
        <f>SALCE[[#This Row],[Net_Sales]]-SALCE[[#This Row],[Cost_Price]]</f>
        <v>7233.5999999999985</v>
      </c>
      <c r="Q158" s="10">
        <f>SALCE[[#This Row],[Gross_Sales]]-SALCE[[#This Row],[Discount_Value]]</f>
        <v>24000</v>
      </c>
      <c r="R158" s="15" t="s">
        <v>57</v>
      </c>
      <c r="S158" s="15" t="s">
        <v>26</v>
      </c>
      <c r="T158" s="15" t="s">
        <v>27</v>
      </c>
    </row>
    <row r="159" spans="1:20" s="12" customFormat="1" ht="30" customHeight="1" thickTop="1" thickBot="1" x14ac:dyDescent="0.4">
      <c r="A159" s="7">
        <v>1158</v>
      </c>
      <c r="B159" s="8">
        <v>45815</v>
      </c>
      <c r="C159" s="14" t="s">
        <v>30</v>
      </c>
      <c r="D159" s="14" t="s">
        <v>38</v>
      </c>
      <c r="E159" s="14" t="s">
        <v>31</v>
      </c>
      <c r="F159" s="14" t="s">
        <v>32</v>
      </c>
      <c r="G159" s="7">
        <v>10</v>
      </c>
      <c r="H159" s="7">
        <v>15000</v>
      </c>
      <c r="I159" s="9">
        <v>10</v>
      </c>
      <c r="J159" s="10">
        <f>SALCE[[#This Row],[After_Discount]]*SALCE[[#This Row],[Tax_%]]/100</f>
        <v>189</v>
      </c>
      <c r="K159" s="11">
        <v>0.14000000000000001</v>
      </c>
      <c r="L159" s="10">
        <f>SALCE[[#This Row],[Quantity]]*SALCE[[#This Row],[Unit_Price]]</f>
        <v>150000</v>
      </c>
      <c r="M159" s="10">
        <f>SALCE[[#This Row],[Gross_Sales]]*SALCE[[#This Row],[Discount_%]]/100</f>
        <v>15000</v>
      </c>
      <c r="N159" s="10">
        <f>SALCE[[#This Row],[After_Discount]]+SALCE[[#This Row],[Tax_Value]]</f>
        <v>135189</v>
      </c>
      <c r="O159" s="10">
        <f>SALCE[[#This Row],[Gross_Sales]]*70%</f>
        <v>105000</v>
      </c>
      <c r="P159" s="10">
        <f>SALCE[[#This Row],[Net_Sales]]-SALCE[[#This Row],[Cost_Price]]</f>
        <v>30189</v>
      </c>
      <c r="Q159" s="10">
        <f>SALCE[[#This Row],[Gross_Sales]]-SALCE[[#This Row],[Discount_Value]]</f>
        <v>135000</v>
      </c>
      <c r="R159" s="15" t="s">
        <v>47</v>
      </c>
      <c r="S159" s="15" t="s">
        <v>26</v>
      </c>
      <c r="T159" s="15" t="s">
        <v>22</v>
      </c>
    </row>
    <row r="160" spans="1:20" s="12" customFormat="1" ht="30" customHeight="1" thickTop="1" thickBot="1" x14ac:dyDescent="0.4">
      <c r="A160" s="7">
        <v>1159</v>
      </c>
      <c r="B160" s="8">
        <v>45816</v>
      </c>
      <c r="C160" s="14" t="s">
        <v>30</v>
      </c>
      <c r="D160" s="14" t="s">
        <v>24</v>
      </c>
      <c r="E160" s="14" t="s">
        <v>33</v>
      </c>
      <c r="F160" s="14" t="s">
        <v>32</v>
      </c>
      <c r="G160" s="7">
        <v>8</v>
      </c>
      <c r="H160" s="7">
        <v>6000</v>
      </c>
      <c r="I160" s="9">
        <v>15</v>
      </c>
      <c r="J160" s="10">
        <f>SALCE[[#This Row],[After_Discount]]*SALCE[[#This Row],[Tax_%]]/100</f>
        <v>57.120000000000012</v>
      </c>
      <c r="K160" s="11">
        <v>0.14000000000000001</v>
      </c>
      <c r="L160" s="10">
        <f>SALCE[[#This Row],[Quantity]]*SALCE[[#This Row],[Unit_Price]]</f>
        <v>48000</v>
      </c>
      <c r="M160" s="10">
        <f>SALCE[[#This Row],[Gross_Sales]]*SALCE[[#This Row],[Discount_%]]/100</f>
        <v>7200</v>
      </c>
      <c r="N160" s="10">
        <f>SALCE[[#This Row],[After_Discount]]+SALCE[[#This Row],[Tax_Value]]</f>
        <v>40857.120000000003</v>
      </c>
      <c r="O160" s="10">
        <f>SALCE[[#This Row],[Gross_Sales]]*70%</f>
        <v>33600</v>
      </c>
      <c r="P160" s="10">
        <f>SALCE[[#This Row],[Net_Sales]]-SALCE[[#This Row],[Cost_Price]]</f>
        <v>7257.1200000000026</v>
      </c>
      <c r="Q160" s="10">
        <f>SALCE[[#This Row],[Gross_Sales]]-SALCE[[#This Row],[Discount_Value]]</f>
        <v>40800</v>
      </c>
      <c r="R160" s="15" t="s">
        <v>61</v>
      </c>
      <c r="S160" s="15" t="s">
        <v>26</v>
      </c>
      <c r="T160" s="15" t="s">
        <v>22</v>
      </c>
    </row>
    <row r="161" spans="1:20" s="12" customFormat="1" ht="30" customHeight="1" thickTop="1" thickBot="1" x14ac:dyDescent="0.4">
      <c r="A161" s="7">
        <v>1160</v>
      </c>
      <c r="B161" s="8">
        <v>45817</v>
      </c>
      <c r="C161" s="14" t="s">
        <v>23</v>
      </c>
      <c r="D161" s="14" t="s">
        <v>29</v>
      </c>
      <c r="E161" s="14" t="s">
        <v>40</v>
      </c>
      <c r="F161" s="14" t="s">
        <v>20</v>
      </c>
      <c r="G161" s="7">
        <v>8</v>
      </c>
      <c r="H161" s="7">
        <v>800</v>
      </c>
      <c r="I161" s="9">
        <v>10</v>
      </c>
      <c r="J161" s="10">
        <f>SALCE[[#This Row],[After_Discount]]*SALCE[[#This Row],[Tax_%]]/100</f>
        <v>8.0640000000000001</v>
      </c>
      <c r="K161" s="11">
        <v>0.14000000000000001</v>
      </c>
      <c r="L161" s="10">
        <f>SALCE[[#This Row],[Quantity]]*SALCE[[#This Row],[Unit_Price]]</f>
        <v>6400</v>
      </c>
      <c r="M161" s="10">
        <f>SALCE[[#This Row],[Gross_Sales]]*SALCE[[#This Row],[Discount_%]]/100</f>
        <v>640</v>
      </c>
      <c r="N161" s="10">
        <f>SALCE[[#This Row],[After_Discount]]+SALCE[[#This Row],[Tax_Value]]</f>
        <v>5768.0640000000003</v>
      </c>
      <c r="O161" s="10">
        <f>SALCE[[#This Row],[Gross_Sales]]*70%</f>
        <v>4480</v>
      </c>
      <c r="P161" s="10">
        <f>SALCE[[#This Row],[Net_Sales]]-SALCE[[#This Row],[Cost_Price]]</f>
        <v>1288.0640000000003</v>
      </c>
      <c r="Q161" s="10">
        <f>SALCE[[#This Row],[Gross_Sales]]-SALCE[[#This Row],[Discount_Value]]</f>
        <v>5760</v>
      </c>
      <c r="R161" s="15" t="s">
        <v>61</v>
      </c>
      <c r="S161" s="15" t="s">
        <v>21</v>
      </c>
      <c r="T161" s="15" t="s">
        <v>22</v>
      </c>
    </row>
    <row r="162" spans="1:20" s="12" customFormat="1" ht="30" customHeight="1" thickTop="1" thickBot="1" x14ac:dyDescent="0.4">
      <c r="A162" s="7">
        <v>1161</v>
      </c>
      <c r="B162" s="8">
        <v>45818</v>
      </c>
      <c r="C162" s="14" t="s">
        <v>39</v>
      </c>
      <c r="D162" s="14" t="s">
        <v>18</v>
      </c>
      <c r="E162" s="14" t="s">
        <v>33</v>
      </c>
      <c r="F162" s="14" t="s">
        <v>32</v>
      </c>
      <c r="G162" s="7">
        <v>3</v>
      </c>
      <c r="H162" s="7">
        <v>6000</v>
      </c>
      <c r="I162" s="9">
        <v>15</v>
      </c>
      <c r="J162" s="10">
        <f>SALCE[[#This Row],[After_Discount]]*SALCE[[#This Row],[Tax_%]]/100</f>
        <v>21.42</v>
      </c>
      <c r="K162" s="11">
        <v>0.14000000000000001</v>
      </c>
      <c r="L162" s="10">
        <f>SALCE[[#This Row],[Quantity]]*SALCE[[#This Row],[Unit_Price]]</f>
        <v>18000</v>
      </c>
      <c r="M162" s="10">
        <f>SALCE[[#This Row],[Gross_Sales]]*SALCE[[#This Row],[Discount_%]]/100</f>
        <v>2700</v>
      </c>
      <c r="N162" s="10">
        <f>SALCE[[#This Row],[After_Discount]]+SALCE[[#This Row],[Tax_Value]]</f>
        <v>15321.42</v>
      </c>
      <c r="O162" s="10">
        <f>SALCE[[#This Row],[Gross_Sales]]*70%</f>
        <v>12600</v>
      </c>
      <c r="P162" s="10">
        <f>SALCE[[#This Row],[Net_Sales]]-SALCE[[#This Row],[Cost_Price]]</f>
        <v>2721.42</v>
      </c>
      <c r="Q162" s="10">
        <f>SALCE[[#This Row],[Gross_Sales]]-SALCE[[#This Row],[Discount_Value]]</f>
        <v>15300</v>
      </c>
      <c r="R162" s="15" t="s">
        <v>52</v>
      </c>
      <c r="S162" s="15" t="s">
        <v>21</v>
      </c>
      <c r="T162" s="15" t="s">
        <v>27</v>
      </c>
    </row>
    <row r="163" spans="1:20" s="12" customFormat="1" ht="30" customHeight="1" thickTop="1" thickBot="1" x14ac:dyDescent="0.4">
      <c r="A163" s="7">
        <v>1162</v>
      </c>
      <c r="B163" s="8">
        <v>45819</v>
      </c>
      <c r="C163" s="14" t="s">
        <v>30</v>
      </c>
      <c r="D163" s="14" t="s">
        <v>18</v>
      </c>
      <c r="E163" s="14" t="s">
        <v>19</v>
      </c>
      <c r="F163" s="14" t="s">
        <v>20</v>
      </c>
      <c r="G163" s="7">
        <v>8</v>
      </c>
      <c r="H163" s="7">
        <v>300</v>
      </c>
      <c r="I163" s="9">
        <v>15</v>
      </c>
      <c r="J163" s="10">
        <f>SALCE[[#This Row],[After_Discount]]*SALCE[[#This Row],[Tax_%]]/100</f>
        <v>2.8560000000000003</v>
      </c>
      <c r="K163" s="11">
        <v>0.14000000000000001</v>
      </c>
      <c r="L163" s="10">
        <f>SALCE[[#This Row],[Quantity]]*SALCE[[#This Row],[Unit_Price]]</f>
        <v>2400</v>
      </c>
      <c r="M163" s="10">
        <f>SALCE[[#This Row],[Gross_Sales]]*SALCE[[#This Row],[Discount_%]]/100</f>
        <v>360</v>
      </c>
      <c r="N163" s="10">
        <f>SALCE[[#This Row],[After_Discount]]+SALCE[[#This Row],[Tax_Value]]</f>
        <v>2042.856</v>
      </c>
      <c r="O163" s="10">
        <f>SALCE[[#This Row],[Gross_Sales]]*70%</f>
        <v>1680</v>
      </c>
      <c r="P163" s="10">
        <f>SALCE[[#This Row],[Net_Sales]]-SALCE[[#This Row],[Cost_Price]]</f>
        <v>362.85599999999999</v>
      </c>
      <c r="Q163" s="10">
        <f>SALCE[[#This Row],[Gross_Sales]]-SALCE[[#This Row],[Discount_Value]]</f>
        <v>2040</v>
      </c>
      <c r="R163" s="15" t="s">
        <v>59</v>
      </c>
      <c r="S163" s="15" t="s">
        <v>26</v>
      </c>
      <c r="T163" s="15" t="s">
        <v>27</v>
      </c>
    </row>
    <row r="164" spans="1:20" s="12" customFormat="1" ht="30" customHeight="1" thickTop="1" thickBot="1" x14ac:dyDescent="0.4">
      <c r="A164" s="7">
        <v>1163</v>
      </c>
      <c r="B164" s="8">
        <v>45820</v>
      </c>
      <c r="C164" s="14" t="s">
        <v>30</v>
      </c>
      <c r="D164" s="14" t="s">
        <v>29</v>
      </c>
      <c r="E164" s="14" t="s">
        <v>40</v>
      </c>
      <c r="F164" s="14" t="s">
        <v>20</v>
      </c>
      <c r="G164" s="7">
        <v>5</v>
      </c>
      <c r="H164" s="7">
        <v>800</v>
      </c>
      <c r="I164" s="9">
        <v>10</v>
      </c>
      <c r="J164" s="10">
        <f>SALCE[[#This Row],[After_Discount]]*SALCE[[#This Row],[Tax_%]]/100</f>
        <v>5.0400000000000009</v>
      </c>
      <c r="K164" s="11">
        <v>0.14000000000000001</v>
      </c>
      <c r="L164" s="10">
        <f>SALCE[[#This Row],[Quantity]]*SALCE[[#This Row],[Unit_Price]]</f>
        <v>4000</v>
      </c>
      <c r="M164" s="10">
        <f>SALCE[[#This Row],[Gross_Sales]]*SALCE[[#This Row],[Discount_%]]/100</f>
        <v>400</v>
      </c>
      <c r="N164" s="10">
        <f>SALCE[[#This Row],[After_Discount]]+SALCE[[#This Row],[Tax_Value]]</f>
        <v>3605.04</v>
      </c>
      <c r="O164" s="10">
        <f>SALCE[[#This Row],[Gross_Sales]]*70%</f>
        <v>2800</v>
      </c>
      <c r="P164" s="10">
        <f>SALCE[[#This Row],[Net_Sales]]-SALCE[[#This Row],[Cost_Price]]</f>
        <v>805.04</v>
      </c>
      <c r="Q164" s="10">
        <f>SALCE[[#This Row],[Gross_Sales]]-SALCE[[#This Row],[Discount_Value]]</f>
        <v>3600</v>
      </c>
      <c r="R164" s="15" t="s">
        <v>52</v>
      </c>
      <c r="S164" s="15" t="s">
        <v>37</v>
      </c>
      <c r="T164" s="15" t="s">
        <v>22</v>
      </c>
    </row>
    <row r="165" spans="1:20" s="12" customFormat="1" ht="30" customHeight="1" thickTop="1" thickBot="1" x14ac:dyDescent="0.4">
      <c r="A165" s="7">
        <v>1164</v>
      </c>
      <c r="B165" s="8">
        <v>45821</v>
      </c>
      <c r="C165" s="14" t="s">
        <v>39</v>
      </c>
      <c r="D165" s="14" t="s">
        <v>24</v>
      </c>
      <c r="E165" s="14" t="s">
        <v>40</v>
      </c>
      <c r="F165" s="14" t="s">
        <v>20</v>
      </c>
      <c r="G165" s="7">
        <v>5</v>
      </c>
      <c r="H165" s="7">
        <v>800</v>
      </c>
      <c r="I165" s="9">
        <v>10</v>
      </c>
      <c r="J165" s="10">
        <f>SALCE[[#This Row],[After_Discount]]*SALCE[[#This Row],[Tax_%]]/100</f>
        <v>5.0400000000000009</v>
      </c>
      <c r="K165" s="11">
        <v>0.14000000000000001</v>
      </c>
      <c r="L165" s="10">
        <f>SALCE[[#This Row],[Quantity]]*SALCE[[#This Row],[Unit_Price]]</f>
        <v>4000</v>
      </c>
      <c r="M165" s="10">
        <f>SALCE[[#This Row],[Gross_Sales]]*SALCE[[#This Row],[Discount_%]]/100</f>
        <v>400</v>
      </c>
      <c r="N165" s="10">
        <f>SALCE[[#This Row],[After_Discount]]+SALCE[[#This Row],[Tax_Value]]</f>
        <v>3605.04</v>
      </c>
      <c r="O165" s="10">
        <f>SALCE[[#This Row],[Gross_Sales]]*70%</f>
        <v>2800</v>
      </c>
      <c r="P165" s="10">
        <f>SALCE[[#This Row],[Net_Sales]]-SALCE[[#This Row],[Cost_Price]]</f>
        <v>805.04</v>
      </c>
      <c r="Q165" s="10">
        <f>SALCE[[#This Row],[Gross_Sales]]-SALCE[[#This Row],[Discount_Value]]</f>
        <v>3600</v>
      </c>
      <c r="R165" s="15" t="s">
        <v>59</v>
      </c>
      <c r="S165" s="15" t="s">
        <v>37</v>
      </c>
      <c r="T165" s="15" t="s">
        <v>27</v>
      </c>
    </row>
    <row r="166" spans="1:20" s="12" customFormat="1" ht="30" customHeight="1" thickTop="1" thickBot="1" x14ac:dyDescent="0.4">
      <c r="A166" s="7">
        <v>1165</v>
      </c>
      <c r="B166" s="8">
        <v>45822</v>
      </c>
      <c r="C166" s="14" t="s">
        <v>28</v>
      </c>
      <c r="D166" s="14" t="s">
        <v>24</v>
      </c>
      <c r="E166" s="14" t="s">
        <v>25</v>
      </c>
      <c r="F166" s="14" t="s">
        <v>20</v>
      </c>
      <c r="G166" s="7">
        <v>9</v>
      </c>
      <c r="H166" s="7">
        <v>500</v>
      </c>
      <c r="I166" s="9">
        <v>15</v>
      </c>
      <c r="J166" s="10">
        <f>SALCE[[#This Row],[After_Discount]]*SALCE[[#This Row],[Tax_%]]/100</f>
        <v>5.3550000000000004</v>
      </c>
      <c r="K166" s="11">
        <v>0.14000000000000001</v>
      </c>
      <c r="L166" s="10">
        <f>SALCE[[#This Row],[Quantity]]*SALCE[[#This Row],[Unit_Price]]</f>
        <v>4500</v>
      </c>
      <c r="M166" s="10">
        <f>SALCE[[#This Row],[Gross_Sales]]*SALCE[[#This Row],[Discount_%]]/100</f>
        <v>675</v>
      </c>
      <c r="N166" s="10">
        <f>SALCE[[#This Row],[After_Discount]]+SALCE[[#This Row],[Tax_Value]]</f>
        <v>3830.355</v>
      </c>
      <c r="O166" s="10">
        <f>SALCE[[#This Row],[Gross_Sales]]*70%</f>
        <v>3150</v>
      </c>
      <c r="P166" s="10">
        <f>SALCE[[#This Row],[Net_Sales]]-SALCE[[#This Row],[Cost_Price]]</f>
        <v>680.35500000000002</v>
      </c>
      <c r="Q166" s="10">
        <f>SALCE[[#This Row],[Gross_Sales]]-SALCE[[#This Row],[Discount_Value]]</f>
        <v>3825</v>
      </c>
      <c r="R166" s="15" t="s">
        <v>62</v>
      </c>
      <c r="S166" s="15" t="s">
        <v>26</v>
      </c>
      <c r="T166" s="15" t="s">
        <v>27</v>
      </c>
    </row>
    <row r="167" spans="1:20" s="12" customFormat="1" ht="30" customHeight="1" thickTop="1" thickBot="1" x14ac:dyDescent="0.4">
      <c r="A167" s="7">
        <v>1166</v>
      </c>
      <c r="B167" s="8">
        <v>45823</v>
      </c>
      <c r="C167" s="14" t="s">
        <v>23</v>
      </c>
      <c r="D167" s="14" t="s">
        <v>38</v>
      </c>
      <c r="E167" s="14" t="s">
        <v>33</v>
      </c>
      <c r="F167" s="14" t="s">
        <v>32</v>
      </c>
      <c r="G167" s="7">
        <v>5</v>
      </c>
      <c r="H167" s="7">
        <v>6000</v>
      </c>
      <c r="I167" s="9">
        <v>0</v>
      </c>
      <c r="J167" s="10">
        <f>SALCE[[#This Row],[After_Discount]]*SALCE[[#This Row],[Tax_%]]/100</f>
        <v>42</v>
      </c>
      <c r="K167" s="11">
        <v>0.14000000000000001</v>
      </c>
      <c r="L167" s="10">
        <f>SALCE[[#This Row],[Quantity]]*SALCE[[#This Row],[Unit_Price]]</f>
        <v>30000</v>
      </c>
      <c r="M167" s="10">
        <f>SALCE[[#This Row],[Gross_Sales]]*SALCE[[#This Row],[Discount_%]]/100</f>
        <v>0</v>
      </c>
      <c r="N167" s="10">
        <f>SALCE[[#This Row],[After_Discount]]+SALCE[[#This Row],[Tax_Value]]</f>
        <v>30042</v>
      </c>
      <c r="O167" s="10">
        <f>SALCE[[#This Row],[Gross_Sales]]*70%</f>
        <v>21000</v>
      </c>
      <c r="P167" s="10">
        <f>SALCE[[#This Row],[Net_Sales]]-SALCE[[#This Row],[Cost_Price]]</f>
        <v>9042</v>
      </c>
      <c r="Q167" s="10">
        <f>SALCE[[#This Row],[Gross_Sales]]-SALCE[[#This Row],[Discount_Value]]</f>
        <v>30000</v>
      </c>
      <c r="R167" s="15" t="s">
        <v>61</v>
      </c>
      <c r="S167" s="15" t="s">
        <v>21</v>
      </c>
      <c r="T167" s="15" t="s">
        <v>22</v>
      </c>
    </row>
    <row r="168" spans="1:20" s="12" customFormat="1" ht="30" customHeight="1" thickTop="1" thickBot="1" x14ac:dyDescent="0.4">
      <c r="A168" s="7">
        <v>1167</v>
      </c>
      <c r="B168" s="8">
        <v>45824</v>
      </c>
      <c r="C168" s="14" t="s">
        <v>28</v>
      </c>
      <c r="D168" s="14" t="s">
        <v>29</v>
      </c>
      <c r="E168" s="14" t="s">
        <v>31</v>
      </c>
      <c r="F168" s="14" t="s">
        <v>32</v>
      </c>
      <c r="G168" s="7">
        <v>4</v>
      </c>
      <c r="H168" s="7">
        <v>15000</v>
      </c>
      <c r="I168" s="9">
        <v>5</v>
      </c>
      <c r="J168" s="10">
        <f>SALCE[[#This Row],[After_Discount]]*SALCE[[#This Row],[Tax_%]]/100</f>
        <v>79.800000000000011</v>
      </c>
      <c r="K168" s="11">
        <v>0.14000000000000001</v>
      </c>
      <c r="L168" s="10">
        <f>SALCE[[#This Row],[Quantity]]*SALCE[[#This Row],[Unit_Price]]</f>
        <v>60000</v>
      </c>
      <c r="M168" s="10">
        <f>SALCE[[#This Row],[Gross_Sales]]*SALCE[[#This Row],[Discount_%]]/100</f>
        <v>3000</v>
      </c>
      <c r="N168" s="10">
        <f>SALCE[[#This Row],[After_Discount]]+SALCE[[#This Row],[Tax_Value]]</f>
        <v>57079.8</v>
      </c>
      <c r="O168" s="10">
        <f>SALCE[[#This Row],[Gross_Sales]]*70%</f>
        <v>42000</v>
      </c>
      <c r="P168" s="10">
        <f>SALCE[[#This Row],[Net_Sales]]-SALCE[[#This Row],[Cost_Price]]</f>
        <v>15079.800000000003</v>
      </c>
      <c r="Q168" s="10">
        <f>SALCE[[#This Row],[Gross_Sales]]-SALCE[[#This Row],[Discount_Value]]</f>
        <v>57000</v>
      </c>
      <c r="R168" s="15" t="s">
        <v>57</v>
      </c>
      <c r="S168" s="15" t="s">
        <v>21</v>
      </c>
      <c r="T168" s="15" t="s">
        <v>22</v>
      </c>
    </row>
    <row r="169" spans="1:20" s="12" customFormat="1" ht="30" customHeight="1" thickTop="1" thickBot="1" x14ac:dyDescent="0.4">
      <c r="A169" s="7">
        <v>1168</v>
      </c>
      <c r="B169" s="8">
        <v>45825</v>
      </c>
      <c r="C169" s="14" t="s">
        <v>28</v>
      </c>
      <c r="D169" s="14" t="s">
        <v>36</v>
      </c>
      <c r="E169" s="14" t="s">
        <v>40</v>
      </c>
      <c r="F169" s="14" t="s">
        <v>20</v>
      </c>
      <c r="G169" s="7">
        <v>2</v>
      </c>
      <c r="H169" s="7">
        <v>800</v>
      </c>
      <c r="I169" s="9">
        <v>0</v>
      </c>
      <c r="J169" s="10">
        <f>SALCE[[#This Row],[After_Discount]]*SALCE[[#This Row],[Tax_%]]/100</f>
        <v>2.2400000000000002</v>
      </c>
      <c r="K169" s="11">
        <v>0.14000000000000001</v>
      </c>
      <c r="L169" s="10">
        <f>SALCE[[#This Row],[Quantity]]*SALCE[[#This Row],[Unit_Price]]</f>
        <v>1600</v>
      </c>
      <c r="M169" s="10">
        <f>SALCE[[#This Row],[Gross_Sales]]*SALCE[[#This Row],[Discount_%]]/100</f>
        <v>0</v>
      </c>
      <c r="N169" s="10">
        <f>SALCE[[#This Row],[After_Discount]]+SALCE[[#This Row],[Tax_Value]]</f>
        <v>1602.24</v>
      </c>
      <c r="O169" s="10">
        <f>SALCE[[#This Row],[Gross_Sales]]*70%</f>
        <v>1120</v>
      </c>
      <c r="P169" s="10">
        <f>SALCE[[#This Row],[Net_Sales]]-SALCE[[#This Row],[Cost_Price]]</f>
        <v>482.24</v>
      </c>
      <c r="Q169" s="10">
        <f>SALCE[[#This Row],[Gross_Sales]]-SALCE[[#This Row],[Discount_Value]]</f>
        <v>1600</v>
      </c>
      <c r="R169" s="15" t="s">
        <v>53</v>
      </c>
      <c r="S169" s="15" t="s">
        <v>37</v>
      </c>
      <c r="T169" s="15" t="s">
        <v>27</v>
      </c>
    </row>
    <row r="170" spans="1:20" s="12" customFormat="1" ht="30" customHeight="1" thickTop="1" thickBot="1" x14ac:dyDescent="0.4">
      <c r="A170" s="7">
        <v>1169</v>
      </c>
      <c r="B170" s="8">
        <v>45826</v>
      </c>
      <c r="C170" s="14" t="s">
        <v>39</v>
      </c>
      <c r="D170" s="14" t="s">
        <v>41</v>
      </c>
      <c r="E170" s="14" t="s">
        <v>40</v>
      </c>
      <c r="F170" s="14" t="s">
        <v>20</v>
      </c>
      <c r="G170" s="7">
        <v>2</v>
      </c>
      <c r="H170" s="7">
        <v>800</v>
      </c>
      <c r="I170" s="9">
        <v>5</v>
      </c>
      <c r="J170" s="10">
        <f>SALCE[[#This Row],[After_Discount]]*SALCE[[#This Row],[Tax_%]]/100</f>
        <v>2.1280000000000001</v>
      </c>
      <c r="K170" s="11">
        <v>0.14000000000000001</v>
      </c>
      <c r="L170" s="10">
        <f>SALCE[[#This Row],[Quantity]]*SALCE[[#This Row],[Unit_Price]]</f>
        <v>1600</v>
      </c>
      <c r="M170" s="10">
        <f>SALCE[[#This Row],[Gross_Sales]]*SALCE[[#This Row],[Discount_%]]/100</f>
        <v>80</v>
      </c>
      <c r="N170" s="10">
        <f>SALCE[[#This Row],[After_Discount]]+SALCE[[#This Row],[Tax_Value]]</f>
        <v>1522.1279999999999</v>
      </c>
      <c r="O170" s="10">
        <f>SALCE[[#This Row],[Gross_Sales]]*70%</f>
        <v>1120</v>
      </c>
      <c r="P170" s="10">
        <f>SALCE[[#This Row],[Net_Sales]]-SALCE[[#This Row],[Cost_Price]]</f>
        <v>402.12799999999993</v>
      </c>
      <c r="Q170" s="10">
        <f>SALCE[[#This Row],[Gross_Sales]]-SALCE[[#This Row],[Discount_Value]]</f>
        <v>1520</v>
      </c>
      <c r="R170" s="15" t="s">
        <v>62</v>
      </c>
      <c r="S170" s="15" t="s">
        <v>21</v>
      </c>
      <c r="T170" s="15" t="s">
        <v>27</v>
      </c>
    </row>
    <row r="171" spans="1:20" s="12" customFormat="1" ht="30" customHeight="1" thickTop="1" thickBot="1" x14ac:dyDescent="0.4">
      <c r="A171" s="7">
        <v>1170</v>
      </c>
      <c r="B171" s="8">
        <v>45827</v>
      </c>
      <c r="C171" s="14" t="s">
        <v>28</v>
      </c>
      <c r="D171" s="14" t="s">
        <v>18</v>
      </c>
      <c r="E171" s="14" t="s">
        <v>34</v>
      </c>
      <c r="F171" s="14" t="s">
        <v>32</v>
      </c>
      <c r="G171" s="7">
        <v>7</v>
      </c>
      <c r="H171" s="7">
        <v>4000</v>
      </c>
      <c r="I171" s="9">
        <v>15</v>
      </c>
      <c r="J171" s="10">
        <f>SALCE[[#This Row],[After_Discount]]*SALCE[[#This Row],[Tax_%]]/100</f>
        <v>33.320000000000007</v>
      </c>
      <c r="K171" s="11">
        <v>0.14000000000000001</v>
      </c>
      <c r="L171" s="10">
        <f>SALCE[[#This Row],[Quantity]]*SALCE[[#This Row],[Unit_Price]]</f>
        <v>28000</v>
      </c>
      <c r="M171" s="10">
        <f>SALCE[[#This Row],[Gross_Sales]]*SALCE[[#This Row],[Discount_%]]/100</f>
        <v>4200</v>
      </c>
      <c r="N171" s="10">
        <f>SALCE[[#This Row],[After_Discount]]+SALCE[[#This Row],[Tax_Value]]</f>
        <v>23833.32</v>
      </c>
      <c r="O171" s="10">
        <f>SALCE[[#This Row],[Gross_Sales]]*70%</f>
        <v>19600</v>
      </c>
      <c r="P171" s="10">
        <f>SALCE[[#This Row],[Net_Sales]]-SALCE[[#This Row],[Cost_Price]]</f>
        <v>4233.32</v>
      </c>
      <c r="Q171" s="10">
        <f>SALCE[[#This Row],[Gross_Sales]]-SALCE[[#This Row],[Discount_Value]]</f>
        <v>23800</v>
      </c>
      <c r="R171" s="15" t="s">
        <v>54</v>
      </c>
      <c r="S171" s="15" t="s">
        <v>26</v>
      </c>
      <c r="T171" s="15" t="s">
        <v>27</v>
      </c>
    </row>
    <row r="172" spans="1:20" s="12" customFormat="1" ht="30" customHeight="1" thickTop="1" thickBot="1" x14ac:dyDescent="0.4">
      <c r="A172" s="7">
        <v>1171</v>
      </c>
      <c r="B172" s="8">
        <v>45828</v>
      </c>
      <c r="C172" s="14" t="s">
        <v>17</v>
      </c>
      <c r="D172" s="14" t="s">
        <v>24</v>
      </c>
      <c r="E172" s="14" t="s">
        <v>34</v>
      </c>
      <c r="F172" s="14" t="s">
        <v>32</v>
      </c>
      <c r="G172" s="7">
        <v>5</v>
      </c>
      <c r="H172" s="7">
        <v>4000</v>
      </c>
      <c r="I172" s="9">
        <v>15</v>
      </c>
      <c r="J172" s="10">
        <f>SALCE[[#This Row],[After_Discount]]*SALCE[[#This Row],[Tax_%]]/100</f>
        <v>23.8</v>
      </c>
      <c r="K172" s="11">
        <v>0.14000000000000001</v>
      </c>
      <c r="L172" s="10">
        <f>SALCE[[#This Row],[Quantity]]*SALCE[[#This Row],[Unit_Price]]</f>
        <v>20000</v>
      </c>
      <c r="M172" s="10">
        <f>SALCE[[#This Row],[Gross_Sales]]*SALCE[[#This Row],[Discount_%]]/100</f>
        <v>3000</v>
      </c>
      <c r="N172" s="10">
        <f>SALCE[[#This Row],[After_Discount]]+SALCE[[#This Row],[Tax_Value]]</f>
        <v>17023.8</v>
      </c>
      <c r="O172" s="10">
        <f>SALCE[[#This Row],[Gross_Sales]]*70%</f>
        <v>14000</v>
      </c>
      <c r="P172" s="10">
        <f>SALCE[[#This Row],[Net_Sales]]-SALCE[[#This Row],[Cost_Price]]</f>
        <v>3023.7999999999993</v>
      </c>
      <c r="Q172" s="10">
        <f>SALCE[[#This Row],[Gross_Sales]]-SALCE[[#This Row],[Discount_Value]]</f>
        <v>17000</v>
      </c>
      <c r="R172" s="15" t="s">
        <v>56</v>
      </c>
      <c r="S172" s="15" t="s">
        <v>21</v>
      </c>
      <c r="T172" s="15" t="s">
        <v>27</v>
      </c>
    </row>
    <row r="173" spans="1:20" s="12" customFormat="1" ht="30" customHeight="1" thickTop="1" thickBot="1" x14ac:dyDescent="0.4">
      <c r="A173" s="7">
        <v>1172</v>
      </c>
      <c r="B173" s="8">
        <v>45829</v>
      </c>
      <c r="C173" s="14" t="s">
        <v>39</v>
      </c>
      <c r="D173" s="14" t="s">
        <v>18</v>
      </c>
      <c r="E173" s="14" t="s">
        <v>31</v>
      </c>
      <c r="F173" s="14" t="s">
        <v>32</v>
      </c>
      <c r="G173" s="7">
        <v>1</v>
      </c>
      <c r="H173" s="7">
        <v>15000</v>
      </c>
      <c r="I173" s="9">
        <v>15</v>
      </c>
      <c r="J173" s="10">
        <f>SALCE[[#This Row],[After_Discount]]*SALCE[[#This Row],[Tax_%]]/100</f>
        <v>17.850000000000001</v>
      </c>
      <c r="K173" s="11">
        <v>0.14000000000000001</v>
      </c>
      <c r="L173" s="10">
        <f>SALCE[[#This Row],[Quantity]]*SALCE[[#This Row],[Unit_Price]]</f>
        <v>15000</v>
      </c>
      <c r="M173" s="10">
        <f>SALCE[[#This Row],[Gross_Sales]]*SALCE[[#This Row],[Discount_%]]/100</f>
        <v>2250</v>
      </c>
      <c r="N173" s="10">
        <f>SALCE[[#This Row],[After_Discount]]+SALCE[[#This Row],[Tax_Value]]</f>
        <v>12767.85</v>
      </c>
      <c r="O173" s="10">
        <f>SALCE[[#This Row],[Gross_Sales]]*70%</f>
        <v>10500</v>
      </c>
      <c r="P173" s="10">
        <f>SALCE[[#This Row],[Net_Sales]]-SALCE[[#This Row],[Cost_Price]]</f>
        <v>2267.8500000000004</v>
      </c>
      <c r="Q173" s="10">
        <f>SALCE[[#This Row],[Gross_Sales]]-SALCE[[#This Row],[Discount_Value]]</f>
        <v>12750</v>
      </c>
      <c r="R173" s="15" t="s">
        <v>53</v>
      </c>
      <c r="S173" s="15" t="s">
        <v>21</v>
      </c>
      <c r="T173" s="15" t="s">
        <v>22</v>
      </c>
    </row>
    <row r="174" spans="1:20" s="12" customFormat="1" ht="30" customHeight="1" thickTop="1" thickBot="1" x14ac:dyDescent="0.4">
      <c r="A174" s="7">
        <v>1173</v>
      </c>
      <c r="B174" s="8">
        <v>45830</v>
      </c>
      <c r="C174" s="14" t="s">
        <v>30</v>
      </c>
      <c r="D174" s="14" t="s">
        <v>24</v>
      </c>
      <c r="E174" s="14" t="s">
        <v>40</v>
      </c>
      <c r="F174" s="14" t="s">
        <v>20</v>
      </c>
      <c r="G174" s="7">
        <v>7</v>
      </c>
      <c r="H174" s="7">
        <v>800</v>
      </c>
      <c r="I174" s="9">
        <v>5</v>
      </c>
      <c r="J174" s="10">
        <f>SALCE[[#This Row],[After_Discount]]*SALCE[[#This Row],[Tax_%]]/100</f>
        <v>7.4480000000000004</v>
      </c>
      <c r="K174" s="11">
        <v>0.14000000000000001</v>
      </c>
      <c r="L174" s="10">
        <f>SALCE[[#This Row],[Quantity]]*SALCE[[#This Row],[Unit_Price]]</f>
        <v>5600</v>
      </c>
      <c r="M174" s="10">
        <f>SALCE[[#This Row],[Gross_Sales]]*SALCE[[#This Row],[Discount_%]]/100</f>
        <v>280</v>
      </c>
      <c r="N174" s="10">
        <f>SALCE[[#This Row],[After_Discount]]+SALCE[[#This Row],[Tax_Value]]</f>
        <v>5327.4480000000003</v>
      </c>
      <c r="O174" s="10">
        <f>SALCE[[#This Row],[Gross_Sales]]*70%</f>
        <v>3919.9999999999995</v>
      </c>
      <c r="P174" s="10">
        <f>SALCE[[#This Row],[Net_Sales]]-SALCE[[#This Row],[Cost_Price]]</f>
        <v>1407.4480000000008</v>
      </c>
      <c r="Q174" s="10">
        <f>SALCE[[#This Row],[Gross_Sales]]-SALCE[[#This Row],[Discount_Value]]</f>
        <v>5320</v>
      </c>
      <c r="R174" s="15" t="s">
        <v>60</v>
      </c>
      <c r="S174" s="15" t="s">
        <v>26</v>
      </c>
      <c r="T174" s="15" t="s">
        <v>22</v>
      </c>
    </row>
    <row r="175" spans="1:20" s="12" customFormat="1" ht="30" customHeight="1" thickTop="1" thickBot="1" x14ac:dyDescent="0.4">
      <c r="A175" s="7">
        <v>1174</v>
      </c>
      <c r="B175" s="8">
        <v>45831</v>
      </c>
      <c r="C175" s="14" t="s">
        <v>35</v>
      </c>
      <c r="D175" s="14" t="s">
        <v>38</v>
      </c>
      <c r="E175" s="14" t="s">
        <v>31</v>
      </c>
      <c r="F175" s="14" t="s">
        <v>32</v>
      </c>
      <c r="G175" s="7">
        <v>3</v>
      </c>
      <c r="H175" s="7">
        <v>15000</v>
      </c>
      <c r="I175" s="9">
        <v>0</v>
      </c>
      <c r="J175" s="10">
        <f>SALCE[[#This Row],[After_Discount]]*SALCE[[#This Row],[Tax_%]]/100</f>
        <v>63.000000000000007</v>
      </c>
      <c r="K175" s="11">
        <v>0.14000000000000001</v>
      </c>
      <c r="L175" s="10">
        <f>SALCE[[#This Row],[Quantity]]*SALCE[[#This Row],[Unit_Price]]</f>
        <v>45000</v>
      </c>
      <c r="M175" s="10">
        <f>SALCE[[#This Row],[Gross_Sales]]*SALCE[[#This Row],[Discount_%]]/100</f>
        <v>0</v>
      </c>
      <c r="N175" s="10">
        <f>SALCE[[#This Row],[After_Discount]]+SALCE[[#This Row],[Tax_Value]]</f>
        <v>45063</v>
      </c>
      <c r="O175" s="10">
        <f>SALCE[[#This Row],[Gross_Sales]]*70%</f>
        <v>31499.999999999996</v>
      </c>
      <c r="P175" s="10">
        <f>SALCE[[#This Row],[Net_Sales]]-SALCE[[#This Row],[Cost_Price]]</f>
        <v>13563.000000000004</v>
      </c>
      <c r="Q175" s="10">
        <f>SALCE[[#This Row],[Gross_Sales]]-SALCE[[#This Row],[Discount_Value]]</f>
        <v>45000</v>
      </c>
      <c r="R175" s="15" t="s">
        <v>57</v>
      </c>
      <c r="S175" s="15" t="s">
        <v>21</v>
      </c>
      <c r="T175" s="15" t="s">
        <v>22</v>
      </c>
    </row>
    <row r="176" spans="1:20" s="12" customFormat="1" ht="30" customHeight="1" thickTop="1" thickBot="1" x14ac:dyDescent="0.4">
      <c r="A176" s="7">
        <v>1175</v>
      </c>
      <c r="B176" s="8">
        <v>45832</v>
      </c>
      <c r="C176" s="14" t="s">
        <v>35</v>
      </c>
      <c r="D176" s="14" t="s">
        <v>36</v>
      </c>
      <c r="E176" s="14" t="s">
        <v>33</v>
      </c>
      <c r="F176" s="14" t="s">
        <v>32</v>
      </c>
      <c r="G176" s="7">
        <v>4</v>
      </c>
      <c r="H176" s="7">
        <v>6000</v>
      </c>
      <c r="I176" s="9">
        <v>5</v>
      </c>
      <c r="J176" s="10">
        <f>SALCE[[#This Row],[After_Discount]]*SALCE[[#This Row],[Tax_%]]/100</f>
        <v>31.920000000000005</v>
      </c>
      <c r="K176" s="11">
        <v>0.14000000000000001</v>
      </c>
      <c r="L176" s="10">
        <f>SALCE[[#This Row],[Quantity]]*SALCE[[#This Row],[Unit_Price]]</f>
        <v>24000</v>
      </c>
      <c r="M176" s="10">
        <f>SALCE[[#This Row],[Gross_Sales]]*SALCE[[#This Row],[Discount_%]]/100</f>
        <v>1200</v>
      </c>
      <c r="N176" s="10">
        <f>SALCE[[#This Row],[After_Discount]]+SALCE[[#This Row],[Tax_Value]]</f>
        <v>22831.919999999998</v>
      </c>
      <c r="O176" s="10">
        <f>SALCE[[#This Row],[Gross_Sales]]*70%</f>
        <v>16800</v>
      </c>
      <c r="P176" s="10">
        <f>SALCE[[#This Row],[Net_Sales]]-SALCE[[#This Row],[Cost_Price]]</f>
        <v>6031.9199999999983</v>
      </c>
      <c r="Q176" s="10">
        <f>SALCE[[#This Row],[Gross_Sales]]-SALCE[[#This Row],[Discount_Value]]</f>
        <v>22800</v>
      </c>
      <c r="R176" s="15" t="s">
        <v>52</v>
      </c>
      <c r="S176" s="15" t="s">
        <v>37</v>
      </c>
      <c r="T176" s="15" t="s">
        <v>22</v>
      </c>
    </row>
    <row r="177" spans="1:20" s="12" customFormat="1" ht="30" customHeight="1" thickTop="1" thickBot="1" x14ac:dyDescent="0.4">
      <c r="A177" s="7">
        <v>1176</v>
      </c>
      <c r="B177" s="8">
        <v>45833</v>
      </c>
      <c r="C177" s="14" t="s">
        <v>23</v>
      </c>
      <c r="D177" s="14" t="s">
        <v>18</v>
      </c>
      <c r="E177" s="14" t="s">
        <v>40</v>
      </c>
      <c r="F177" s="14" t="s">
        <v>20</v>
      </c>
      <c r="G177" s="7">
        <v>7</v>
      </c>
      <c r="H177" s="7">
        <v>800</v>
      </c>
      <c r="I177" s="9">
        <v>0</v>
      </c>
      <c r="J177" s="10">
        <f>SALCE[[#This Row],[After_Discount]]*SALCE[[#This Row],[Tax_%]]/100</f>
        <v>7.8400000000000007</v>
      </c>
      <c r="K177" s="11">
        <v>0.14000000000000001</v>
      </c>
      <c r="L177" s="10">
        <f>SALCE[[#This Row],[Quantity]]*SALCE[[#This Row],[Unit_Price]]</f>
        <v>5600</v>
      </c>
      <c r="M177" s="10">
        <f>SALCE[[#This Row],[Gross_Sales]]*SALCE[[#This Row],[Discount_%]]/100</f>
        <v>0</v>
      </c>
      <c r="N177" s="10">
        <f>SALCE[[#This Row],[After_Discount]]+SALCE[[#This Row],[Tax_Value]]</f>
        <v>5607.84</v>
      </c>
      <c r="O177" s="10">
        <f>SALCE[[#This Row],[Gross_Sales]]*70%</f>
        <v>3919.9999999999995</v>
      </c>
      <c r="P177" s="10">
        <f>SALCE[[#This Row],[Net_Sales]]-SALCE[[#This Row],[Cost_Price]]</f>
        <v>1687.8400000000006</v>
      </c>
      <c r="Q177" s="10">
        <f>SALCE[[#This Row],[Gross_Sales]]-SALCE[[#This Row],[Discount_Value]]</f>
        <v>5600</v>
      </c>
      <c r="R177" s="15" t="s">
        <v>62</v>
      </c>
      <c r="S177" s="15" t="s">
        <v>37</v>
      </c>
      <c r="T177" s="15" t="s">
        <v>22</v>
      </c>
    </row>
    <row r="178" spans="1:20" s="12" customFormat="1" ht="30" customHeight="1" thickTop="1" thickBot="1" x14ac:dyDescent="0.4">
      <c r="A178" s="7">
        <v>1177</v>
      </c>
      <c r="B178" s="8">
        <v>45834</v>
      </c>
      <c r="C178" s="14" t="s">
        <v>39</v>
      </c>
      <c r="D178" s="14" t="s">
        <v>29</v>
      </c>
      <c r="E178" s="14" t="s">
        <v>25</v>
      </c>
      <c r="F178" s="14" t="s">
        <v>20</v>
      </c>
      <c r="G178" s="7">
        <v>6</v>
      </c>
      <c r="H178" s="7">
        <v>500</v>
      </c>
      <c r="I178" s="9">
        <v>15</v>
      </c>
      <c r="J178" s="10">
        <f>SALCE[[#This Row],[After_Discount]]*SALCE[[#This Row],[Tax_%]]/100</f>
        <v>3.5700000000000007</v>
      </c>
      <c r="K178" s="11">
        <v>0.14000000000000001</v>
      </c>
      <c r="L178" s="10">
        <f>SALCE[[#This Row],[Quantity]]*SALCE[[#This Row],[Unit_Price]]</f>
        <v>3000</v>
      </c>
      <c r="M178" s="10">
        <f>SALCE[[#This Row],[Gross_Sales]]*SALCE[[#This Row],[Discount_%]]/100</f>
        <v>450</v>
      </c>
      <c r="N178" s="10">
        <f>SALCE[[#This Row],[After_Discount]]+SALCE[[#This Row],[Tax_Value]]</f>
        <v>2553.5700000000002</v>
      </c>
      <c r="O178" s="10">
        <f>SALCE[[#This Row],[Gross_Sales]]*70%</f>
        <v>2100</v>
      </c>
      <c r="P178" s="10">
        <f>SALCE[[#This Row],[Net_Sales]]-SALCE[[#This Row],[Cost_Price]]</f>
        <v>453.57000000000016</v>
      </c>
      <c r="Q178" s="10">
        <f>SALCE[[#This Row],[Gross_Sales]]-SALCE[[#This Row],[Discount_Value]]</f>
        <v>2550</v>
      </c>
      <c r="R178" s="15" t="s">
        <v>53</v>
      </c>
      <c r="S178" s="15" t="s">
        <v>37</v>
      </c>
      <c r="T178" s="15" t="s">
        <v>22</v>
      </c>
    </row>
    <row r="179" spans="1:20" s="12" customFormat="1" ht="30" customHeight="1" thickTop="1" thickBot="1" x14ac:dyDescent="0.4">
      <c r="A179" s="7">
        <v>1178</v>
      </c>
      <c r="B179" s="8">
        <v>45835</v>
      </c>
      <c r="C179" s="14" t="s">
        <v>39</v>
      </c>
      <c r="D179" s="14" t="s">
        <v>41</v>
      </c>
      <c r="E179" s="14" t="s">
        <v>40</v>
      </c>
      <c r="F179" s="14" t="s">
        <v>20</v>
      </c>
      <c r="G179" s="7">
        <v>6</v>
      </c>
      <c r="H179" s="7">
        <v>800</v>
      </c>
      <c r="I179" s="9">
        <v>0</v>
      </c>
      <c r="J179" s="10">
        <f>SALCE[[#This Row],[After_Discount]]*SALCE[[#This Row],[Tax_%]]/100</f>
        <v>6.7200000000000015</v>
      </c>
      <c r="K179" s="11">
        <v>0.14000000000000001</v>
      </c>
      <c r="L179" s="10">
        <f>SALCE[[#This Row],[Quantity]]*SALCE[[#This Row],[Unit_Price]]</f>
        <v>4800</v>
      </c>
      <c r="M179" s="10">
        <f>SALCE[[#This Row],[Gross_Sales]]*SALCE[[#This Row],[Discount_%]]/100</f>
        <v>0</v>
      </c>
      <c r="N179" s="10">
        <f>SALCE[[#This Row],[After_Discount]]+SALCE[[#This Row],[Tax_Value]]</f>
        <v>4806.72</v>
      </c>
      <c r="O179" s="10">
        <f>SALCE[[#This Row],[Gross_Sales]]*70%</f>
        <v>3360</v>
      </c>
      <c r="P179" s="10">
        <f>SALCE[[#This Row],[Net_Sales]]-SALCE[[#This Row],[Cost_Price]]</f>
        <v>1446.7200000000003</v>
      </c>
      <c r="Q179" s="10">
        <f>SALCE[[#This Row],[Gross_Sales]]-SALCE[[#This Row],[Discount_Value]]</f>
        <v>4800</v>
      </c>
      <c r="R179" s="15" t="s">
        <v>56</v>
      </c>
      <c r="S179" s="15" t="s">
        <v>37</v>
      </c>
      <c r="T179" s="15" t="s">
        <v>22</v>
      </c>
    </row>
    <row r="180" spans="1:20" s="12" customFormat="1" ht="30" customHeight="1" thickTop="1" thickBot="1" x14ac:dyDescent="0.4">
      <c r="A180" s="7">
        <v>1179</v>
      </c>
      <c r="B180" s="8">
        <v>45836</v>
      </c>
      <c r="C180" s="14" t="s">
        <v>23</v>
      </c>
      <c r="D180" s="14" t="s">
        <v>38</v>
      </c>
      <c r="E180" s="14" t="s">
        <v>40</v>
      </c>
      <c r="F180" s="14" t="s">
        <v>20</v>
      </c>
      <c r="G180" s="7">
        <v>1</v>
      </c>
      <c r="H180" s="7">
        <v>800</v>
      </c>
      <c r="I180" s="9">
        <v>15</v>
      </c>
      <c r="J180" s="10">
        <f>SALCE[[#This Row],[After_Discount]]*SALCE[[#This Row],[Tax_%]]/100</f>
        <v>0.95200000000000007</v>
      </c>
      <c r="K180" s="11">
        <v>0.14000000000000001</v>
      </c>
      <c r="L180" s="10">
        <f>SALCE[[#This Row],[Quantity]]*SALCE[[#This Row],[Unit_Price]]</f>
        <v>800</v>
      </c>
      <c r="M180" s="10">
        <f>SALCE[[#This Row],[Gross_Sales]]*SALCE[[#This Row],[Discount_%]]/100</f>
        <v>120</v>
      </c>
      <c r="N180" s="10">
        <f>SALCE[[#This Row],[After_Discount]]+SALCE[[#This Row],[Tax_Value]]</f>
        <v>680.952</v>
      </c>
      <c r="O180" s="10">
        <f>SALCE[[#This Row],[Gross_Sales]]*70%</f>
        <v>560</v>
      </c>
      <c r="P180" s="10">
        <f>SALCE[[#This Row],[Net_Sales]]-SALCE[[#This Row],[Cost_Price]]</f>
        <v>120.952</v>
      </c>
      <c r="Q180" s="10">
        <f>SALCE[[#This Row],[Gross_Sales]]-SALCE[[#This Row],[Discount_Value]]</f>
        <v>680</v>
      </c>
      <c r="R180" s="15" t="s">
        <v>61</v>
      </c>
      <c r="S180" s="15" t="s">
        <v>21</v>
      </c>
      <c r="T180" s="15" t="s">
        <v>22</v>
      </c>
    </row>
    <row r="181" spans="1:20" s="12" customFormat="1" ht="30" customHeight="1" thickTop="1" thickBot="1" x14ac:dyDescent="0.4">
      <c r="A181" s="7">
        <v>1180</v>
      </c>
      <c r="B181" s="8">
        <v>45837</v>
      </c>
      <c r="C181" s="14" t="s">
        <v>39</v>
      </c>
      <c r="D181" s="14" t="s">
        <v>38</v>
      </c>
      <c r="E181" s="14" t="s">
        <v>31</v>
      </c>
      <c r="F181" s="14" t="s">
        <v>32</v>
      </c>
      <c r="G181" s="7">
        <v>3</v>
      </c>
      <c r="H181" s="7">
        <v>15000</v>
      </c>
      <c r="I181" s="9">
        <v>15</v>
      </c>
      <c r="J181" s="10">
        <f>SALCE[[#This Row],[After_Discount]]*SALCE[[#This Row],[Tax_%]]/100</f>
        <v>53.550000000000011</v>
      </c>
      <c r="K181" s="11">
        <v>0.14000000000000001</v>
      </c>
      <c r="L181" s="10">
        <f>SALCE[[#This Row],[Quantity]]*SALCE[[#This Row],[Unit_Price]]</f>
        <v>45000</v>
      </c>
      <c r="M181" s="10">
        <f>SALCE[[#This Row],[Gross_Sales]]*SALCE[[#This Row],[Discount_%]]/100</f>
        <v>6750</v>
      </c>
      <c r="N181" s="10">
        <f>SALCE[[#This Row],[After_Discount]]+SALCE[[#This Row],[Tax_Value]]</f>
        <v>38303.550000000003</v>
      </c>
      <c r="O181" s="10">
        <f>SALCE[[#This Row],[Gross_Sales]]*70%</f>
        <v>31499.999999999996</v>
      </c>
      <c r="P181" s="10">
        <f>SALCE[[#This Row],[Net_Sales]]-SALCE[[#This Row],[Cost_Price]]</f>
        <v>6803.5500000000065</v>
      </c>
      <c r="Q181" s="10">
        <f>SALCE[[#This Row],[Gross_Sales]]-SALCE[[#This Row],[Discount_Value]]</f>
        <v>38250</v>
      </c>
      <c r="R181" s="15" t="s">
        <v>56</v>
      </c>
      <c r="S181" s="15" t="s">
        <v>21</v>
      </c>
      <c r="T181" s="15" t="s">
        <v>22</v>
      </c>
    </row>
    <row r="182" spans="1:20" s="12" customFormat="1" ht="30" customHeight="1" thickTop="1" thickBot="1" x14ac:dyDescent="0.4">
      <c r="A182" s="7">
        <v>1181</v>
      </c>
      <c r="B182" s="8">
        <v>45838</v>
      </c>
      <c r="C182" s="14" t="s">
        <v>17</v>
      </c>
      <c r="D182" s="14" t="s">
        <v>29</v>
      </c>
      <c r="E182" s="14" t="s">
        <v>19</v>
      </c>
      <c r="F182" s="14" t="s">
        <v>20</v>
      </c>
      <c r="G182" s="7">
        <v>1</v>
      </c>
      <c r="H182" s="7">
        <v>300</v>
      </c>
      <c r="I182" s="9">
        <v>0</v>
      </c>
      <c r="J182" s="10">
        <f>SALCE[[#This Row],[After_Discount]]*SALCE[[#This Row],[Tax_%]]/100</f>
        <v>0.4200000000000001</v>
      </c>
      <c r="K182" s="11">
        <v>0.14000000000000001</v>
      </c>
      <c r="L182" s="10">
        <f>SALCE[[#This Row],[Quantity]]*SALCE[[#This Row],[Unit_Price]]</f>
        <v>300</v>
      </c>
      <c r="M182" s="10">
        <f>SALCE[[#This Row],[Gross_Sales]]*SALCE[[#This Row],[Discount_%]]/100</f>
        <v>0</v>
      </c>
      <c r="N182" s="10">
        <f>SALCE[[#This Row],[After_Discount]]+SALCE[[#This Row],[Tax_Value]]</f>
        <v>300.42</v>
      </c>
      <c r="O182" s="10">
        <f>SALCE[[#This Row],[Gross_Sales]]*70%</f>
        <v>210</v>
      </c>
      <c r="P182" s="10">
        <f>SALCE[[#This Row],[Net_Sales]]-SALCE[[#This Row],[Cost_Price]]</f>
        <v>90.420000000000016</v>
      </c>
      <c r="Q182" s="10">
        <f>SALCE[[#This Row],[Gross_Sales]]-SALCE[[#This Row],[Discount_Value]]</f>
        <v>300</v>
      </c>
      <c r="R182" s="15" t="s">
        <v>61</v>
      </c>
      <c r="S182" s="15" t="s">
        <v>37</v>
      </c>
      <c r="T182" s="15" t="s">
        <v>22</v>
      </c>
    </row>
    <row r="183" spans="1:20" s="12" customFormat="1" ht="30" customHeight="1" thickTop="1" thickBot="1" x14ac:dyDescent="0.4">
      <c r="A183" s="7">
        <v>1182</v>
      </c>
      <c r="B183" s="8">
        <v>45839</v>
      </c>
      <c r="C183" s="14" t="s">
        <v>17</v>
      </c>
      <c r="D183" s="14" t="s">
        <v>24</v>
      </c>
      <c r="E183" s="14" t="s">
        <v>34</v>
      </c>
      <c r="F183" s="14" t="s">
        <v>32</v>
      </c>
      <c r="G183" s="7">
        <v>9</v>
      </c>
      <c r="H183" s="7">
        <v>4000</v>
      </c>
      <c r="I183" s="9">
        <v>15</v>
      </c>
      <c r="J183" s="10">
        <f>SALCE[[#This Row],[After_Discount]]*SALCE[[#This Row],[Tax_%]]/100</f>
        <v>42.84</v>
      </c>
      <c r="K183" s="11">
        <v>0.14000000000000001</v>
      </c>
      <c r="L183" s="10">
        <f>SALCE[[#This Row],[Quantity]]*SALCE[[#This Row],[Unit_Price]]</f>
        <v>36000</v>
      </c>
      <c r="M183" s="10">
        <f>SALCE[[#This Row],[Gross_Sales]]*SALCE[[#This Row],[Discount_%]]/100</f>
        <v>5400</v>
      </c>
      <c r="N183" s="10">
        <f>SALCE[[#This Row],[After_Discount]]+SALCE[[#This Row],[Tax_Value]]</f>
        <v>30642.84</v>
      </c>
      <c r="O183" s="10">
        <f>SALCE[[#This Row],[Gross_Sales]]*70%</f>
        <v>25200</v>
      </c>
      <c r="P183" s="10">
        <f>SALCE[[#This Row],[Net_Sales]]-SALCE[[#This Row],[Cost_Price]]</f>
        <v>5442.84</v>
      </c>
      <c r="Q183" s="10">
        <f>SALCE[[#This Row],[Gross_Sales]]-SALCE[[#This Row],[Discount_Value]]</f>
        <v>30600</v>
      </c>
      <c r="R183" s="15" t="s">
        <v>53</v>
      </c>
      <c r="S183" s="15" t="s">
        <v>37</v>
      </c>
      <c r="T183" s="15" t="s">
        <v>22</v>
      </c>
    </row>
    <row r="184" spans="1:20" s="12" customFormat="1" ht="30" customHeight="1" thickTop="1" thickBot="1" x14ac:dyDescent="0.4">
      <c r="A184" s="7">
        <v>1183</v>
      </c>
      <c r="B184" s="8">
        <v>45840</v>
      </c>
      <c r="C184" s="14" t="s">
        <v>28</v>
      </c>
      <c r="D184" s="14" t="s">
        <v>24</v>
      </c>
      <c r="E184" s="14" t="s">
        <v>40</v>
      </c>
      <c r="F184" s="14" t="s">
        <v>20</v>
      </c>
      <c r="G184" s="7">
        <v>9</v>
      </c>
      <c r="H184" s="7">
        <v>800</v>
      </c>
      <c r="I184" s="9">
        <v>5</v>
      </c>
      <c r="J184" s="10">
        <f>SALCE[[#This Row],[After_Discount]]*SALCE[[#This Row],[Tax_%]]/100</f>
        <v>9.5760000000000005</v>
      </c>
      <c r="K184" s="11">
        <v>0.14000000000000001</v>
      </c>
      <c r="L184" s="10">
        <f>SALCE[[#This Row],[Quantity]]*SALCE[[#This Row],[Unit_Price]]</f>
        <v>7200</v>
      </c>
      <c r="M184" s="10">
        <f>SALCE[[#This Row],[Gross_Sales]]*SALCE[[#This Row],[Discount_%]]/100</f>
        <v>360</v>
      </c>
      <c r="N184" s="10">
        <f>SALCE[[#This Row],[After_Discount]]+SALCE[[#This Row],[Tax_Value]]</f>
        <v>6849.576</v>
      </c>
      <c r="O184" s="10">
        <f>SALCE[[#This Row],[Gross_Sales]]*70%</f>
        <v>5040</v>
      </c>
      <c r="P184" s="10">
        <f>SALCE[[#This Row],[Net_Sales]]-SALCE[[#This Row],[Cost_Price]]</f>
        <v>1809.576</v>
      </c>
      <c r="Q184" s="10">
        <f>SALCE[[#This Row],[Gross_Sales]]-SALCE[[#This Row],[Discount_Value]]</f>
        <v>6840</v>
      </c>
      <c r="R184" s="15" t="s">
        <v>50</v>
      </c>
      <c r="S184" s="15" t="s">
        <v>21</v>
      </c>
      <c r="T184" s="15" t="s">
        <v>27</v>
      </c>
    </row>
    <row r="185" spans="1:20" s="12" customFormat="1" ht="30" customHeight="1" thickTop="1" thickBot="1" x14ac:dyDescent="0.4">
      <c r="A185" s="7">
        <v>1184</v>
      </c>
      <c r="B185" s="8">
        <v>45841</v>
      </c>
      <c r="C185" s="14" t="s">
        <v>35</v>
      </c>
      <c r="D185" s="14" t="s">
        <v>29</v>
      </c>
      <c r="E185" s="14" t="s">
        <v>33</v>
      </c>
      <c r="F185" s="14" t="s">
        <v>32</v>
      </c>
      <c r="G185" s="7">
        <v>5</v>
      </c>
      <c r="H185" s="7">
        <v>6000</v>
      </c>
      <c r="I185" s="9">
        <v>0</v>
      </c>
      <c r="J185" s="10">
        <f>SALCE[[#This Row],[After_Discount]]*SALCE[[#This Row],[Tax_%]]/100</f>
        <v>42</v>
      </c>
      <c r="K185" s="11">
        <v>0.14000000000000001</v>
      </c>
      <c r="L185" s="10">
        <f>SALCE[[#This Row],[Quantity]]*SALCE[[#This Row],[Unit_Price]]</f>
        <v>30000</v>
      </c>
      <c r="M185" s="10">
        <f>SALCE[[#This Row],[Gross_Sales]]*SALCE[[#This Row],[Discount_%]]/100</f>
        <v>0</v>
      </c>
      <c r="N185" s="10">
        <f>SALCE[[#This Row],[After_Discount]]+SALCE[[#This Row],[Tax_Value]]</f>
        <v>30042</v>
      </c>
      <c r="O185" s="10">
        <f>SALCE[[#This Row],[Gross_Sales]]*70%</f>
        <v>21000</v>
      </c>
      <c r="P185" s="10">
        <f>SALCE[[#This Row],[Net_Sales]]-SALCE[[#This Row],[Cost_Price]]</f>
        <v>9042</v>
      </c>
      <c r="Q185" s="10">
        <f>SALCE[[#This Row],[Gross_Sales]]-SALCE[[#This Row],[Discount_Value]]</f>
        <v>30000</v>
      </c>
      <c r="R185" s="15" t="s">
        <v>52</v>
      </c>
      <c r="S185" s="15" t="s">
        <v>26</v>
      </c>
      <c r="T185" s="15" t="s">
        <v>22</v>
      </c>
    </row>
    <row r="186" spans="1:20" s="12" customFormat="1" ht="30" customHeight="1" thickTop="1" thickBot="1" x14ac:dyDescent="0.4">
      <c r="A186" s="7">
        <v>1185</v>
      </c>
      <c r="B186" s="8">
        <v>45842</v>
      </c>
      <c r="C186" s="14" t="s">
        <v>30</v>
      </c>
      <c r="D186" s="14" t="s">
        <v>36</v>
      </c>
      <c r="E186" s="14" t="s">
        <v>34</v>
      </c>
      <c r="F186" s="14" t="s">
        <v>32</v>
      </c>
      <c r="G186" s="7">
        <v>10</v>
      </c>
      <c r="H186" s="7">
        <v>4000</v>
      </c>
      <c r="I186" s="9">
        <v>0</v>
      </c>
      <c r="J186" s="10">
        <f>SALCE[[#This Row],[After_Discount]]*SALCE[[#This Row],[Tax_%]]/100</f>
        <v>56.000000000000007</v>
      </c>
      <c r="K186" s="11">
        <v>0.14000000000000001</v>
      </c>
      <c r="L186" s="10">
        <f>SALCE[[#This Row],[Quantity]]*SALCE[[#This Row],[Unit_Price]]</f>
        <v>40000</v>
      </c>
      <c r="M186" s="10">
        <f>SALCE[[#This Row],[Gross_Sales]]*SALCE[[#This Row],[Discount_%]]/100</f>
        <v>0</v>
      </c>
      <c r="N186" s="10">
        <f>SALCE[[#This Row],[After_Discount]]+SALCE[[#This Row],[Tax_Value]]</f>
        <v>40056</v>
      </c>
      <c r="O186" s="10">
        <f>SALCE[[#This Row],[Gross_Sales]]*70%</f>
        <v>28000</v>
      </c>
      <c r="P186" s="10">
        <f>SALCE[[#This Row],[Net_Sales]]-SALCE[[#This Row],[Cost_Price]]</f>
        <v>12056</v>
      </c>
      <c r="Q186" s="10">
        <f>SALCE[[#This Row],[Gross_Sales]]-SALCE[[#This Row],[Discount_Value]]</f>
        <v>40000</v>
      </c>
      <c r="R186" s="15" t="s">
        <v>54</v>
      </c>
      <c r="S186" s="15" t="s">
        <v>21</v>
      </c>
      <c r="T186" s="15" t="s">
        <v>27</v>
      </c>
    </row>
    <row r="187" spans="1:20" s="12" customFormat="1" ht="30" customHeight="1" thickTop="1" thickBot="1" x14ac:dyDescent="0.4">
      <c r="A187" s="7">
        <v>1186</v>
      </c>
      <c r="B187" s="8">
        <v>45843</v>
      </c>
      <c r="C187" s="14" t="s">
        <v>30</v>
      </c>
      <c r="D187" s="14" t="s">
        <v>24</v>
      </c>
      <c r="E187" s="14" t="s">
        <v>34</v>
      </c>
      <c r="F187" s="14" t="s">
        <v>32</v>
      </c>
      <c r="G187" s="7">
        <v>2</v>
      </c>
      <c r="H187" s="7">
        <v>4000</v>
      </c>
      <c r="I187" s="9">
        <v>0</v>
      </c>
      <c r="J187" s="10">
        <f>SALCE[[#This Row],[After_Discount]]*SALCE[[#This Row],[Tax_%]]/100</f>
        <v>11.2</v>
      </c>
      <c r="K187" s="11">
        <v>0.14000000000000001</v>
      </c>
      <c r="L187" s="10">
        <f>SALCE[[#This Row],[Quantity]]*SALCE[[#This Row],[Unit_Price]]</f>
        <v>8000</v>
      </c>
      <c r="M187" s="10">
        <f>SALCE[[#This Row],[Gross_Sales]]*SALCE[[#This Row],[Discount_%]]/100</f>
        <v>0</v>
      </c>
      <c r="N187" s="10">
        <f>SALCE[[#This Row],[After_Discount]]+SALCE[[#This Row],[Tax_Value]]</f>
        <v>8011.2</v>
      </c>
      <c r="O187" s="10">
        <f>SALCE[[#This Row],[Gross_Sales]]*70%</f>
        <v>5600</v>
      </c>
      <c r="P187" s="10">
        <f>SALCE[[#This Row],[Net_Sales]]-SALCE[[#This Row],[Cost_Price]]</f>
        <v>2411.1999999999998</v>
      </c>
      <c r="Q187" s="10">
        <f>SALCE[[#This Row],[Gross_Sales]]-SALCE[[#This Row],[Discount_Value]]</f>
        <v>8000</v>
      </c>
      <c r="R187" s="15" t="s">
        <v>53</v>
      </c>
      <c r="S187" s="15" t="s">
        <v>21</v>
      </c>
      <c r="T187" s="15" t="s">
        <v>22</v>
      </c>
    </row>
    <row r="188" spans="1:20" s="12" customFormat="1" ht="30" customHeight="1" thickTop="1" thickBot="1" x14ac:dyDescent="0.4">
      <c r="A188" s="7">
        <v>1187</v>
      </c>
      <c r="B188" s="8">
        <v>45844</v>
      </c>
      <c r="C188" s="14" t="s">
        <v>23</v>
      </c>
      <c r="D188" s="14" t="s">
        <v>29</v>
      </c>
      <c r="E188" s="14" t="s">
        <v>33</v>
      </c>
      <c r="F188" s="14" t="s">
        <v>32</v>
      </c>
      <c r="G188" s="7">
        <v>9</v>
      </c>
      <c r="H188" s="7">
        <v>6000</v>
      </c>
      <c r="I188" s="9">
        <v>0</v>
      </c>
      <c r="J188" s="10">
        <f>SALCE[[#This Row],[After_Discount]]*SALCE[[#This Row],[Tax_%]]/100</f>
        <v>75.600000000000009</v>
      </c>
      <c r="K188" s="11">
        <v>0.14000000000000001</v>
      </c>
      <c r="L188" s="10">
        <f>SALCE[[#This Row],[Quantity]]*SALCE[[#This Row],[Unit_Price]]</f>
        <v>54000</v>
      </c>
      <c r="M188" s="10">
        <f>SALCE[[#This Row],[Gross_Sales]]*SALCE[[#This Row],[Discount_%]]/100</f>
        <v>0</v>
      </c>
      <c r="N188" s="10">
        <f>SALCE[[#This Row],[After_Discount]]+SALCE[[#This Row],[Tax_Value]]</f>
        <v>54075.6</v>
      </c>
      <c r="O188" s="10">
        <f>SALCE[[#This Row],[Gross_Sales]]*70%</f>
        <v>37800</v>
      </c>
      <c r="P188" s="10">
        <f>SALCE[[#This Row],[Net_Sales]]-SALCE[[#This Row],[Cost_Price]]</f>
        <v>16275.599999999999</v>
      </c>
      <c r="Q188" s="10">
        <f>SALCE[[#This Row],[Gross_Sales]]-SALCE[[#This Row],[Discount_Value]]</f>
        <v>54000</v>
      </c>
      <c r="R188" s="15" t="s">
        <v>59</v>
      </c>
      <c r="S188" s="15" t="s">
        <v>21</v>
      </c>
      <c r="T188" s="15" t="s">
        <v>27</v>
      </c>
    </row>
    <row r="189" spans="1:20" s="12" customFormat="1" ht="30" customHeight="1" thickTop="1" thickBot="1" x14ac:dyDescent="0.4">
      <c r="A189" s="7">
        <v>1188</v>
      </c>
      <c r="B189" s="8">
        <v>45845</v>
      </c>
      <c r="C189" s="14" t="s">
        <v>23</v>
      </c>
      <c r="D189" s="14" t="s">
        <v>38</v>
      </c>
      <c r="E189" s="14" t="s">
        <v>34</v>
      </c>
      <c r="F189" s="14" t="s">
        <v>32</v>
      </c>
      <c r="G189" s="7">
        <v>4</v>
      </c>
      <c r="H189" s="7">
        <v>4000</v>
      </c>
      <c r="I189" s="9">
        <v>0</v>
      </c>
      <c r="J189" s="10">
        <f>SALCE[[#This Row],[After_Discount]]*SALCE[[#This Row],[Tax_%]]/100</f>
        <v>22.4</v>
      </c>
      <c r="K189" s="11">
        <v>0.14000000000000001</v>
      </c>
      <c r="L189" s="10">
        <f>SALCE[[#This Row],[Quantity]]*SALCE[[#This Row],[Unit_Price]]</f>
        <v>16000</v>
      </c>
      <c r="M189" s="10">
        <f>SALCE[[#This Row],[Gross_Sales]]*SALCE[[#This Row],[Discount_%]]/100</f>
        <v>0</v>
      </c>
      <c r="N189" s="10">
        <f>SALCE[[#This Row],[After_Discount]]+SALCE[[#This Row],[Tax_Value]]</f>
        <v>16022.4</v>
      </c>
      <c r="O189" s="10">
        <f>SALCE[[#This Row],[Gross_Sales]]*70%</f>
        <v>11200</v>
      </c>
      <c r="P189" s="10">
        <f>SALCE[[#This Row],[Net_Sales]]-SALCE[[#This Row],[Cost_Price]]</f>
        <v>4822.3999999999996</v>
      </c>
      <c r="Q189" s="10">
        <f>SALCE[[#This Row],[Gross_Sales]]-SALCE[[#This Row],[Discount_Value]]</f>
        <v>16000</v>
      </c>
      <c r="R189" s="15" t="s">
        <v>61</v>
      </c>
      <c r="S189" s="15" t="s">
        <v>26</v>
      </c>
      <c r="T189" s="15" t="s">
        <v>22</v>
      </c>
    </row>
    <row r="190" spans="1:20" s="12" customFormat="1" ht="30" customHeight="1" thickTop="1" thickBot="1" x14ac:dyDescent="0.4">
      <c r="A190" s="7">
        <v>1189</v>
      </c>
      <c r="B190" s="8">
        <v>45846</v>
      </c>
      <c r="C190" s="14" t="s">
        <v>23</v>
      </c>
      <c r="D190" s="14" t="s">
        <v>29</v>
      </c>
      <c r="E190" s="14" t="s">
        <v>34</v>
      </c>
      <c r="F190" s="14" t="s">
        <v>32</v>
      </c>
      <c r="G190" s="7">
        <v>2</v>
      </c>
      <c r="H190" s="7">
        <v>4000</v>
      </c>
      <c r="I190" s="9">
        <v>0</v>
      </c>
      <c r="J190" s="10">
        <f>SALCE[[#This Row],[After_Discount]]*SALCE[[#This Row],[Tax_%]]/100</f>
        <v>11.2</v>
      </c>
      <c r="K190" s="11">
        <v>0.14000000000000001</v>
      </c>
      <c r="L190" s="10">
        <f>SALCE[[#This Row],[Quantity]]*SALCE[[#This Row],[Unit_Price]]</f>
        <v>8000</v>
      </c>
      <c r="M190" s="10">
        <f>SALCE[[#This Row],[Gross_Sales]]*SALCE[[#This Row],[Discount_%]]/100</f>
        <v>0</v>
      </c>
      <c r="N190" s="10">
        <f>SALCE[[#This Row],[After_Discount]]+SALCE[[#This Row],[Tax_Value]]</f>
        <v>8011.2</v>
      </c>
      <c r="O190" s="10">
        <f>SALCE[[#This Row],[Gross_Sales]]*70%</f>
        <v>5600</v>
      </c>
      <c r="P190" s="10">
        <f>SALCE[[#This Row],[Net_Sales]]-SALCE[[#This Row],[Cost_Price]]</f>
        <v>2411.1999999999998</v>
      </c>
      <c r="Q190" s="10">
        <f>SALCE[[#This Row],[Gross_Sales]]-SALCE[[#This Row],[Discount_Value]]</f>
        <v>8000</v>
      </c>
      <c r="R190" s="15" t="s">
        <v>47</v>
      </c>
      <c r="S190" s="15" t="s">
        <v>26</v>
      </c>
      <c r="T190" s="15" t="s">
        <v>27</v>
      </c>
    </row>
    <row r="191" spans="1:20" s="12" customFormat="1" ht="30" customHeight="1" thickTop="1" thickBot="1" x14ac:dyDescent="0.4">
      <c r="A191" s="7">
        <v>1190</v>
      </c>
      <c r="B191" s="8">
        <v>45847</v>
      </c>
      <c r="C191" s="14" t="s">
        <v>23</v>
      </c>
      <c r="D191" s="14" t="s">
        <v>29</v>
      </c>
      <c r="E191" s="14" t="s">
        <v>33</v>
      </c>
      <c r="F191" s="14" t="s">
        <v>32</v>
      </c>
      <c r="G191" s="7">
        <v>7</v>
      </c>
      <c r="H191" s="7">
        <v>6000</v>
      </c>
      <c r="I191" s="9">
        <v>15</v>
      </c>
      <c r="J191" s="10">
        <f>SALCE[[#This Row],[After_Discount]]*SALCE[[#This Row],[Tax_%]]/100</f>
        <v>49.980000000000011</v>
      </c>
      <c r="K191" s="11">
        <v>0.14000000000000001</v>
      </c>
      <c r="L191" s="10">
        <f>SALCE[[#This Row],[Quantity]]*SALCE[[#This Row],[Unit_Price]]</f>
        <v>42000</v>
      </c>
      <c r="M191" s="10">
        <f>SALCE[[#This Row],[Gross_Sales]]*SALCE[[#This Row],[Discount_%]]/100</f>
        <v>6300</v>
      </c>
      <c r="N191" s="10">
        <f>SALCE[[#This Row],[After_Discount]]+SALCE[[#This Row],[Tax_Value]]</f>
        <v>35749.980000000003</v>
      </c>
      <c r="O191" s="10">
        <f>SALCE[[#This Row],[Gross_Sales]]*70%</f>
        <v>29399.999999999996</v>
      </c>
      <c r="P191" s="10">
        <f>SALCE[[#This Row],[Net_Sales]]-SALCE[[#This Row],[Cost_Price]]</f>
        <v>6349.9800000000068</v>
      </c>
      <c r="Q191" s="10">
        <f>SALCE[[#This Row],[Gross_Sales]]-SALCE[[#This Row],[Discount_Value]]</f>
        <v>35700</v>
      </c>
      <c r="R191" s="15" t="s">
        <v>62</v>
      </c>
      <c r="S191" s="15" t="s">
        <v>21</v>
      </c>
      <c r="T191" s="15" t="s">
        <v>22</v>
      </c>
    </row>
    <row r="192" spans="1:20" s="12" customFormat="1" ht="30" customHeight="1" thickTop="1" thickBot="1" x14ac:dyDescent="0.4">
      <c r="A192" s="7">
        <v>1191</v>
      </c>
      <c r="B192" s="8">
        <v>45848</v>
      </c>
      <c r="C192" s="14" t="s">
        <v>39</v>
      </c>
      <c r="D192" s="14" t="s">
        <v>24</v>
      </c>
      <c r="E192" s="14" t="s">
        <v>25</v>
      </c>
      <c r="F192" s="14" t="s">
        <v>20</v>
      </c>
      <c r="G192" s="7">
        <v>7</v>
      </c>
      <c r="H192" s="7">
        <v>500</v>
      </c>
      <c r="I192" s="9">
        <v>5</v>
      </c>
      <c r="J192" s="10">
        <f>SALCE[[#This Row],[After_Discount]]*SALCE[[#This Row],[Tax_%]]/100</f>
        <v>4.6550000000000002</v>
      </c>
      <c r="K192" s="11">
        <v>0.14000000000000001</v>
      </c>
      <c r="L192" s="10">
        <f>SALCE[[#This Row],[Quantity]]*SALCE[[#This Row],[Unit_Price]]</f>
        <v>3500</v>
      </c>
      <c r="M192" s="10">
        <f>SALCE[[#This Row],[Gross_Sales]]*SALCE[[#This Row],[Discount_%]]/100</f>
        <v>175</v>
      </c>
      <c r="N192" s="10">
        <f>SALCE[[#This Row],[After_Discount]]+SALCE[[#This Row],[Tax_Value]]</f>
        <v>3329.6550000000002</v>
      </c>
      <c r="O192" s="10">
        <f>SALCE[[#This Row],[Gross_Sales]]*70%</f>
        <v>2450</v>
      </c>
      <c r="P192" s="10">
        <f>SALCE[[#This Row],[Net_Sales]]-SALCE[[#This Row],[Cost_Price]]</f>
        <v>879.6550000000002</v>
      </c>
      <c r="Q192" s="10">
        <f>SALCE[[#This Row],[Gross_Sales]]-SALCE[[#This Row],[Discount_Value]]</f>
        <v>3325</v>
      </c>
      <c r="R192" s="15" t="s">
        <v>60</v>
      </c>
      <c r="S192" s="15" t="s">
        <v>21</v>
      </c>
      <c r="T192" s="15" t="s">
        <v>22</v>
      </c>
    </row>
    <row r="193" spans="1:20" s="12" customFormat="1" ht="30" customHeight="1" thickTop="1" thickBot="1" x14ac:dyDescent="0.4">
      <c r="A193" s="7">
        <v>1192</v>
      </c>
      <c r="B193" s="8">
        <v>45849</v>
      </c>
      <c r="C193" s="14" t="s">
        <v>30</v>
      </c>
      <c r="D193" s="14" t="s">
        <v>18</v>
      </c>
      <c r="E193" s="14" t="s">
        <v>34</v>
      </c>
      <c r="F193" s="14" t="s">
        <v>32</v>
      </c>
      <c r="G193" s="7">
        <v>4</v>
      </c>
      <c r="H193" s="7">
        <v>4000</v>
      </c>
      <c r="I193" s="9">
        <v>10</v>
      </c>
      <c r="J193" s="10">
        <f>SALCE[[#This Row],[After_Discount]]*SALCE[[#This Row],[Tax_%]]/100</f>
        <v>20.160000000000004</v>
      </c>
      <c r="K193" s="11">
        <v>0.14000000000000001</v>
      </c>
      <c r="L193" s="10">
        <f>SALCE[[#This Row],[Quantity]]*SALCE[[#This Row],[Unit_Price]]</f>
        <v>16000</v>
      </c>
      <c r="M193" s="10">
        <f>SALCE[[#This Row],[Gross_Sales]]*SALCE[[#This Row],[Discount_%]]/100</f>
        <v>1600</v>
      </c>
      <c r="N193" s="10">
        <f>SALCE[[#This Row],[After_Discount]]+SALCE[[#This Row],[Tax_Value]]</f>
        <v>14420.16</v>
      </c>
      <c r="O193" s="10">
        <f>SALCE[[#This Row],[Gross_Sales]]*70%</f>
        <v>11200</v>
      </c>
      <c r="P193" s="10">
        <f>SALCE[[#This Row],[Net_Sales]]-SALCE[[#This Row],[Cost_Price]]</f>
        <v>3220.16</v>
      </c>
      <c r="Q193" s="10">
        <f>SALCE[[#This Row],[Gross_Sales]]-SALCE[[#This Row],[Discount_Value]]</f>
        <v>14400</v>
      </c>
      <c r="R193" s="15" t="s">
        <v>47</v>
      </c>
      <c r="S193" s="15" t="s">
        <v>37</v>
      </c>
      <c r="T193" s="15" t="s">
        <v>22</v>
      </c>
    </row>
    <row r="194" spans="1:20" s="12" customFormat="1" ht="30" customHeight="1" thickTop="1" thickBot="1" x14ac:dyDescent="0.4">
      <c r="A194" s="7">
        <v>1193</v>
      </c>
      <c r="B194" s="8">
        <v>45850</v>
      </c>
      <c r="C194" s="14" t="s">
        <v>30</v>
      </c>
      <c r="D194" s="14" t="s">
        <v>36</v>
      </c>
      <c r="E194" s="14" t="s">
        <v>19</v>
      </c>
      <c r="F194" s="14" t="s">
        <v>20</v>
      </c>
      <c r="G194" s="7">
        <v>5</v>
      </c>
      <c r="H194" s="7">
        <v>300</v>
      </c>
      <c r="I194" s="9">
        <v>5</v>
      </c>
      <c r="J194" s="10">
        <f>SALCE[[#This Row],[After_Discount]]*SALCE[[#This Row],[Tax_%]]/100</f>
        <v>1.9950000000000003</v>
      </c>
      <c r="K194" s="11">
        <v>0.14000000000000001</v>
      </c>
      <c r="L194" s="10">
        <f>SALCE[[#This Row],[Quantity]]*SALCE[[#This Row],[Unit_Price]]</f>
        <v>1500</v>
      </c>
      <c r="M194" s="10">
        <f>SALCE[[#This Row],[Gross_Sales]]*SALCE[[#This Row],[Discount_%]]/100</f>
        <v>75</v>
      </c>
      <c r="N194" s="10">
        <f>SALCE[[#This Row],[After_Discount]]+SALCE[[#This Row],[Tax_Value]]</f>
        <v>1426.9949999999999</v>
      </c>
      <c r="O194" s="10">
        <f>SALCE[[#This Row],[Gross_Sales]]*70%</f>
        <v>1050</v>
      </c>
      <c r="P194" s="10">
        <f>SALCE[[#This Row],[Net_Sales]]-SALCE[[#This Row],[Cost_Price]]</f>
        <v>376.99499999999989</v>
      </c>
      <c r="Q194" s="10">
        <f>SALCE[[#This Row],[Gross_Sales]]-SALCE[[#This Row],[Discount_Value]]</f>
        <v>1425</v>
      </c>
      <c r="R194" s="15" t="s">
        <v>57</v>
      </c>
      <c r="S194" s="15" t="s">
        <v>21</v>
      </c>
      <c r="T194" s="15" t="s">
        <v>22</v>
      </c>
    </row>
    <row r="195" spans="1:20" s="12" customFormat="1" ht="30" customHeight="1" thickTop="1" thickBot="1" x14ac:dyDescent="0.4">
      <c r="A195" s="7">
        <v>1194</v>
      </c>
      <c r="B195" s="8">
        <v>45851</v>
      </c>
      <c r="C195" s="14" t="s">
        <v>30</v>
      </c>
      <c r="D195" s="14" t="s">
        <v>24</v>
      </c>
      <c r="E195" s="14" t="s">
        <v>19</v>
      </c>
      <c r="F195" s="14" t="s">
        <v>20</v>
      </c>
      <c r="G195" s="7">
        <v>8</v>
      </c>
      <c r="H195" s="7">
        <v>300</v>
      </c>
      <c r="I195" s="9">
        <v>0</v>
      </c>
      <c r="J195" s="10">
        <f>SALCE[[#This Row],[After_Discount]]*SALCE[[#This Row],[Tax_%]]/100</f>
        <v>3.3600000000000008</v>
      </c>
      <c r="K195" s="11">
        <v>0.14000000000000001</v>
      </c>
      <c r="L195" s="10">
        <f>SALCE[[#This Row],[Quantity]]*SALCE[[#This Row],[Unit_Price]]</f>
        <v>2400</v>
      </c>
      <c r="M195" s="10">
        <f>SALCE[[#This Row],[Gross_Sales]]*SALCE[[#This Row],[Discount_%]]/100</f>
        <v>0</v>
      </c>
      <c r="N195" s="10">
        <f>SALCE[[#This Row],[After_Discount]]+SALCE[[#This Row],[Tax_Value]]</f>
        <v>2403.36</v>
      </c>
      <c r="O195" s="10">
        <f>SALCE[[#This Row],[Gross_Sales]]*70%</f>
        <v>1680</v>
      </c>
      <c r="P195" s="10">
        <f>SALCE[[#This Row],[Net_Sales]]-SALCE[[#This Row],[Cost_Price]]</f>
        <v>723.36000000000013</v>
      </c>
      <c r="Q195" s="10">
        <f>SALCE[[#This Row],[Gross_Sales]]-SALCE[[#This Row],[Discount_Value]]</f>
        <v>2400</v>
      </c>
      <c r="R195" s="15" t="s">
        <v>51</v>
      </c>
      <c r="S195" s="15" t="s">
        <v>26</v>
      </c>
      <c r="T195" s="15" t="s">
        <v>22</v>
      </c>
    </row>
    <row r="196" spans="1:20" s="12" customFormat="1" ht="30" customHeight="1" thickTop="1" thickBot="1" x14ac:dyDescent="0.4">
      <c r="A196" s="7">
        <v>1195</v>
      </c>
      <c r="B196" s="8">
        <v>45852</v>
      </c>
      <c r="C196" s="14" t="s">
        <v>35</v>
      </c>
      <c r="D196" s="14" t="s">
        <v>24</v>
      </c>
      <c r="E196" s="14" t="s">
        <v>19</v>
      </c>
      <c r="F196" s="14" t="s">
        <v>20</v>
      </c>
      <c r="G196" s="7">
        <v>9</v>
      </c>
      <c r="H196" s="7">
        <v>300</v>
      </c>
      <c r="I196" s="9">
        <v>5</v>
      </c>
      <c r="J196" s="10">
        <f>SALCE[[#This Row],[After_Discount]]*SALCE[[#This Row],[Tax_%]]/100</f>
        <v>3.5910000000000002</v>
      </c>
      <c r="K196" s="11">
        <v>0.14000000000000001</v>
      </c>
      <c r="L196" s="10">
        <f>SALCE[[#This Row],[Quantity]]*SALCE[[#This Row],[Unit_Price]]</f>
        <v>2700</v>
      </c>
      <c r="M196" s="10">
        <f>SALCE[[#This Row],[Gross_Sales]]*SALCE[[#This Row],[Discount_%]]/100</f>
        <v>135</v>
      </c>
      <c r="N196" s="10">
        <f>SALCE[[#This Row],[After_Discount]]+SALCE[[#This Row],[Tax_Value]]</f>
        <v>2568.5909999999999</v>
      </c>
      <c r="O196" s="10">
        <f>SALCE[[#This Row],[Gross_Sales]]*70%</f>
        <v>1889.9999999999998</v>
      </c>
      <c r="P196" s="10">
        <f>SALCE[[#This Row],[Net_Sales]]-SALCE[[#This Row],[Cost_Price]]</f>
        <v>678.59100000000012</v>
      </c>
      <c r="Q196" s="10">
        <f>SALCE[[#This Row],[Gross_Sales]]-SALCE[[#This Row],[Discount_Value]]</f>
        <v>2565</v>
      </c>
      <c r="R196" s="15" t="s">
        <v>49</v>
      </c>
      <c r="S196" s="15" t="s">
        <v>37</v>
      </c>
      <c r="T196" s="15" t="s">
        <v>27</v>
      </c>
    </row>
    <row r="197" spans="1:20" s="12" customFormat="1" ht="30" customHeight="1" thickTop="1" thickBot="1" x14ac:dyDescent="0.4">
      <c r="A197" s="7">
        <v>1196</v>
      </c>
      <c r="B197" s="8">
        <v>45853</v>
      </c>
      <c r="C197" s="14" t="s">
        <v>35</v>
      </c>
      <c r="D197" s="14" t="s">
        <v>18</v>
      </c>
      <c r="E197" s="14" t="s">
        <v>34</v>
      </c>
      <c r="F197" s="14" t="s">
        <v>32</v>
      </c>
      <c r="G197" s="7">
        <v>6</v>
      </c>
      <c r="H197" s="7">
        <v>4000</v>
      </c>
      <c r="I197" s="9">
        <v>15</v>
      </c>
      <c r="J197" s="10">
        <f>SALCE[[#This Row],[After_Discount]]*SALCE[[#This Row],[Tax_%]]/100</f>
        <v>28.560000000000006</v>
      </c>
      <c r="K197" s="11">
        <v>0.14000000000000001</v>
      </c>
      <c r="L197" s="10">
        <f>SALCE[[#This Row],[Quantity]]*SALCE[[#This Row],[Unit_Price]]</f>
        <v>24000</v>
      </c>
      <c r="M197" s="10">
        <f>SALCE[[#This Row],[Gross_Sales]]*SALCE[[#This Row],[Discount_%]]/100</f>
        <v>3600</v>
      </c>
      <c r="N197" s="10">
        <f>SALCE[[#This Row],[After_Discount]]+SALCE[[#This Row],[Tax_Value]]</f>
        <v>20428.560000000001</v>
      </c>
      <c r="O197" s="10">
        <f>SALCE[[#This Row],[Gross_Sales]]*70%</f>
        <v>16800</v>
      </c>
      <c r="P197" s="10">
        <f>SALCE[[#This Row],[Net_Sales]]-SALCE[[#This Row],[Cost_Price]]</f>
        <v>3628.5600000000013</v>
      </c>
      <c r="Q197" s="10">
        <f>SALCE[[#This Row],[Gross_Sales]]-SALCE[[#This Row],[Discount_Value]]</f>
        <v>20400</v>
      </c>
      <c r="R197" s="15" t="s">
        <v>58</v>
      </c>
      <c r="S197" s="15" t="s">
        <v>21</v>
      </c>
      <c r="T197" s="15" t="s">
        <v>27</v>
      </c>
    </row>
    <row r="198" spans="1:20" s="12" customFormat="1" ht="30" customHeight="1" thickTop="1" thickBot="1" x14ac:dyDescent="0.4">
      <c r="A198" s="7">
        <v>1197</v>
      </c>
      <c r="B198" s="8">
        <v>45854</v>
      </c>
      <c r="C198" s="14" t="s">
        <v>17</v>
      </c>
      <c r="D198" s="14" t="s">
        <v>36</v>
      </c>
      <c r="E198" s="14" t="s">
        <v>31</v>
      </c>
      <c r="F198" s="14" t="s">
        <v>32</v>
      </c>
      <c r="G198" s="7">
        <v>1</v>
      </c>
      <c r="H198" s="7">
        <v>15000</v>
      </c>
      <c r="I198" s="9">
        <v>10</v>
      </c>
      <c r="J198" s="10">
        <f>SALCE[[#This Row],[After_Discount]]*SALCE[[#This Row],[Tax_%]]/100</f>
        <v>18.900000000000002</v>
      </c>
      <c r="K198" s="11">
        <v>0.14000000000000001</v>
      </c>
      <c r="L198" s="10">
        <f>SALCE[[#This Row],[Quantity]]*SALCE[[#This Row],[Unit_Price]]</f>
        <v>15000</v>
      </c>
      <c r="M198" s="10">
        <f>SALCE[[#This Row],[Gross_Sales]]*SALCE[[#This Row],[Discount_%]]/100</f>
        <v>1500</v>
      </c>
      <c r="N198" s="10">
        <f>SALCE[[#This Row],[After_Discount]]+SALCE[[#This Row],[Tax_Value]]</f>
        <v>13518.9</v>
      </c>
      <c r="O198" s="10">
        <f>SALCE[[#This Row],[Gross_Sales]]*70%</f>
        <v>10500</v>
      </c>
      <c r="P198" s="10">
        <f>SALCE[[#This Row],[Net_Sales]]-SALCE[[#This Row],[Cost_Price]]</f>
        <v>3018.8999999999996</v>
      </c>
      <c r="Q198" s="10">
        <f>SALCE[[#This Row],[Gross_Sales]]-SALCE[[#This Row],[Discount_Value]]</f>
        <v>13500</v>
      </c>
      <c r="R198" s="15" t="s">
        <v>52</v>
      </c>
      <c r="S198" s="15" t="s">
        <v>37</v>
      </c>
      <c r="T198" s="15" t="s">
        <v>27</v>
      </c>
    </row>
    <row r="199" spans="1:20" s="12" customFormat="1" ht="30" customHeight="1" thickTop="1" thickBot="1" x14ac:dyDescent="0.4">
      <c r="A199" s="7">
        <v>1198</v>
      </c>
      <c r="B199" s="8">
        <v>45855</v>
      </c>
      <c r="C199" s="14" t="s">
        <v>30</v>
      </c>
      <c r="D199" s="14" t="s">
        <v>29</v>
      </c>
      <c r="E199" s="14" t="s">
        <v>25</v>
      </c>
      <c r="F199" s="14" t="s">
        <v>20</v>
      </c>
      <c r="G199" s="7">
        <v>9</v>
      </c>
      <c r="H199" s="7">
        <v>500</v>
      </c>
      <c r="I199" s="9">
        <v>10</v>
      </c>
      <c r="J199" s="10">
        <f>SALCE[[#This Row],[After_Discount]]*SALCE[[#This Row],[Tax_%]]/100</f>
        <v>5.67</v>
      </c>
      <c r="K199" s="11">
        <v>0.14000000000000001</v>
      </c>
      <c r="L199" s="10">
        <f>SALCE[[#This Row],[Quantity]]*SALCE[[#This Row],[Unit_Price]]</f>
        <v>4500</v>
      </c>
      <c r="M199" s="10">
        <f>SALCE[[#This Row],[Gross_Sales]]*SALCE[[#This Row],[Discount_%]]/100</f>
        <v>450</v>
      </c>
      <c r="N199" s="10">
        <f>SALCE[[#This Row],[After_Discount]]+SALCE[[#This Row],[Tax_Value]]</f>
        <v>4055.67</v>
      </c>
      <c r="O199" s="10">
        <f>SALCE[[#This Row],[Gross_Sales]]*70%</f>
        <v>3150</v>
      </c>
      <c r="P199" s="10">
        <f>SALCE[[#This Row],[Net_Sales]]-SALCE[[#This Row],[Cost_Price]]</f>
        <v>905.67000000000007</v>
      </c>
      <c r="Q199" s="10">
        <f>SALCE[[#This Row],[Gross_Sales]]-SALCE[[#This Row],[Discount_Value]]</f>
        <v>4050</v>
      </c>
      <c r="R199" s="15" t="s">
        <v>53</v>
      </c>
      <c r="S199" s="15" t="s">
        <v>26</v>
      </c>
      <c r="T199" s="15" t="s">
        <v>27</v>
      </c>
    </row>
    <row r="200" spans="1:20" s="12" customFormat="1" ht="30" customHeight="1" thickTop="1" thickBot="1" x14ac:dyDescent="0.4">
      <c r="A200" s="7">
        <v>1199</v>
      </c>
      <c r="B200" s="8">
        <v>45856</v>
      </c>
      <c r="C200" s="14" t="s">
        <v>17</v>
      </c>
      <c r="D200" s="14" t="s">
        <v>18</v>
      </c>
      <c r="E200" s="14" t="s">
        <v>25</v>
      </c>
      <c r="F200" s="14" t="s">
        <v>20</v>
      </c>
      <c r="G200" s="7">
        <v>5</v>
      </c>
      <c r="H200" s="7">
        <v>500</v>
      </c>
      <c r="I200" s="9">
        <v>5</v>
      </c>
      <c r="J200" s="10">
        <f>SALCE[[#This Row],[After_Discount]]*SALCE[[#This Row],[Tax_%]]/100</f>
        <v>3.3250000000000006</v>
      </c>
      <c r="K200" s="11">
        <v>0.14000000000000001</v>
      </c>
      <c r="L200" s="10">
        <f>SALCE[[#This Row],[Quantity]]*SALCE[[#This Row],[Unit_Price]]</f>
        <v>2500</v>
      </c>
      <c r="M200" s="10">
        <f>SALCE[[#This Row],[Gross_Sales]]*SALCE[[#This Row],[Discount_%]]/100</f>
        <v>125</v>
      </c>
      <c r="N200" s="10">
        <f>SALCE[[#This Row],[After_Discount]]+SALCE[[#This Row],[Tax_Value]]</f>
        <v>2378.3249999999998</v>
      </c>
      <c r="O200" s="10">
        <f>SALCE[[#This Row],[Gross_Sales]]*70%</f>
        <v>1750</v>
      </c>
      <c r="P200" s="10">
        <f>SALCE[[#This Row],[Net_Sales]]-SALCE[[#This Row],[Cost_Price]]</f>
        <v>628.32499999999982</v>
      </c>
      <c r="Q200" s="10">
        <f>SALCE[[#This Row],[Gross_Sales]]-SALCE[[#This Row],[Discount_Value]]</f>
        <v>2375</v>
      </c>
      <c r="R200" s="15" t="s">
        <v>47</v>
      </c>
      <c r="S200" s="15" t="s">
        <v>21</v>
      </c>
      <c r="T200" s="15" t="s">
        <v>22</v>
      </c>
    </row>
    <row r="201" spans="1:20" s="12" customFormat="1" ht="30" customHeight="1" thickTop="1" thickBot="1" x14ac:dyDescent="0.4">
      <c r="A201" s="7">
        <v>1200</v>
      </c>
      <c r="B201" s="8">
        <v>45857</v>
      </c>
      <c r="C201" s="14" t="s">
        <v>17</v>
      </c>
      <c r="D201" s="14" t="s">
        <v>29</v>
      </c>
      <c r="E201" s="14" t="s">
        <v>25</v>
      </c>
      <c r="F201" s="14" t="s">
        <v>20</v>
      </c>
      <c r="G201" s="7">
        <v>3</v>
      </c>
      <c r="H201" s="7">
        <v>500</v>
      </c>
      <c r="I201" s="9">
        <v>5</v>
      </c>
      <c r="J201" s="10">
        <f>SALCE[[#This Row],[After_Discount]]*SALCE[[#This Row],[Tax_%]]/100</f>
        <v>1.9950000000000003</v>
      </c>
      <c r="K201" s="11">
        <v>0.14000000000000001</v>
      </c>
      <c r="L201" s="10">
        <f>SALCE[[#This Row],[Quantity]]*SALCE[[#This Row],[Unit_Price]]</f>
        <v>1500</v>
      </c>
      <c r="M201" s="10">
        <f>SALCE[[#This Row],[Gross_Sales]]*SALCE[[#This Row],[Discount_%]]/100</f>
        <v>75</v>
      </c>
      <c r="N201" s="10">
        <f>SALCE[[#This Row],[After_Discount]]+SALCE[[#This Row],[Tax_Value]]</f>
        <v>1426.9949999999999</v>
      </c>
      <c r="O201" s="10">
        <f>SALCE[[#This Row],[Gross_Sales]]*70%</f>
        <v>1050</v>
      </c>
      <c r="P201" s="10">
        <f>SALCE[[#This Row],[Net_Sales]]-SALCE[[#This Row],[Cost_Price]]</f>
        <v>376.99499999999989</v>
      </c>
      <c r="Q201" s="10">
        <f>SALCE[[#This Row],[Gross_Sales]]-SALCE[[#This Row],[Discount_Value]]</f>
        <v>1425</v>
      </c>
      <c r="R201" s="15" t="s">
        <v>58</v>
      </c>
      <c r="S201" s="15" t="s">
        <v>37</v>
      </c>
      <c r="T201" s="15" t="s">
        <v>27</v>
      </c>
    </row>
    <row r="202" spans="1:20" s="12" customFormat="1" ht="30" customHeight="1" thickTop="1" thickBot="1" x14ac:dyDescent="0.4">
      <c r="A202" s="7">
        <v>1201</v>
      </c>
      <c r="B202" s="8">
        <v>45858</v>
      </c>
      <c r="C202" s="14" t="s">
        <v>23</v>
      </c>
      <c r="D202" s="14" t="s">
        <v>36</v>
      </c>
      <c r="E202" s="14" t="s">
        <v>34</v>
      </c>
      <c r="F202" s="14" t="s">
        <v>32</v>
      </c>
      <c r="G202" s="7">
        <v>8</v>
      </c>
      <c r="H202" s="7">
        <v>4000</v>
      </c>
      <c r="I202" s="9">
        <v>10</v>
      </c>
      <c r="J202" s="10">
        <f>SALCE[[#This Row],[After_Discount]]*SALCE[[#This Row],[Tax_%]]/100</f>
        <v>40.320000000000007</v>
      </c>
      <c r="K202" s="11">
        <v>0.14000000000000001</v>
      </c>
      <c r="L202" s="10">
        <f>SALCE[[#This Row],[Quantity]]*SALCE[[#This Row],[Unit_Price]]</f>
        <v>32000</v>
      </c>
      <c r="M202" s="10">
        <f>SALCE[[#This Row],[Gross_Sales]]*SALCE[[#This Row],[Discount_%]]/100</f>
        <v>3200</v>
      </c>
      <c r="N202" s="10">
        <f>SALCE[[#This Row],[After_Discount]]+SALCE[[#This Row],[Tax_Value]]</f>
        <v>28840.32</v>
      </c>
      <c r="O202" s="10">
        <f>SALCE[[#This Row],[Gross_Sales]]*70%</f>
        <v>22400</v>
      </c>
      <c r="P202" s="10">
        <f>SALCE[[#This Row],[Net_Sales]]-SALCE[[#This Row],[Cost_Price]]</f>
        <v>6440.32</v>
      </c>
      <c r="Q202" s="10">
        <f>SALCE[[#This Row],[Gross_Sales]]-SALCE[[#This Row],[Discount_Value]]</f>
        <v>28800</v>
      </c>
      <c r="R202" s="15" t="s">
        <v>62</v>
      </c>
      <c r="S202" s="15" t="s">
        <v>37</v>
      </c>
      <c r="T202" s="15" t="s">
        <v>27</v>
      </c>
    </row>
    <row r="203" spans="1:20" s="12" customFormat="1" ht="30" customHeight="1" thickTop="1" thickBot="1" x14ac:dyDescent="0.4">
      <c r="A203" s="7">
        <v>1202</v>
      </c>
      <c r="B203" s="8">
        <v>45859</v>
      </c>
      <c r="C203" s="14" t="s">
        <v>39</v>
      </c>
      <c r="D203" s="14" t="s">
        <v>24</v>
      </c>
      <c r="E203" s="14" t="s">
        <v>25</v>
      </c>
      <c r="F203" s="14" t="s">
        <v>20</v>
      </c>
      <c r="G203" s="7">
        <v>4</v>
      </c>
      <c r="H203" s="7">
        <v>500</v>
      </c>
      <c r="I203" s="9">
        <v>0</v>
      </c>
      <c r="J203" s="10">
        <f>SALCE[[#This Row],[After_Discount]]*SALCE[[#This Row],[Tax_%]]/100</f>
        <v>2.8</v>
      </c>
      <c r="K203" s="11">
        <v>0.14000000000000001</v>
      </c>
      <c r="L203" s="10">
        <f>SALCE[[#This Row],[Quantity]]*SALCE[[#This Row],[Unit_Price]]</f>
        <v>2000</v>
      </c>
      <c r="M203" s="10">
        <f>SALCE[[#This Row],[Gross_Sales]]*SALCE[[#This Row],[Discount_%]]/100</f>
        <v>0</v>
      </c>
      <c r="N203" s="10">
        <f>SALCE[[#This Row],[After_Discount]]+SALCE[[#This Row],[Tax_Value]]</f>
        <v>2002.8</v>
      </c>
      <c r="O203" s="10">
        <f>SALCE[[#This Row],[Gross_Sales]]*70%</f>
        <v>1400</v>
      </c>
      <c r="P203" s="10">
        <f>SALCE[[#This Row],[Net_Sales]]-SALCE[[#This Row],[Cost_Price]]</f>
        <v>602.79999999999995</v>
      </c>
      <c r="Q203" s="10">
        <f>SALCE[[#This Row],[Gross_Sales]]-SALCE[[#This Row],[Discount_Value]]</f>
        <v>2000</v>
      </c>
      <c r="R203" s="15" t="s">
        <v>49</v>
      </c>
      <c r="S203" s="15" t="s">
        <v>37</v>
      </c>
      <c r="T203" s="15" t="s">
        <v>22</v>
      </c>
    </row>
    <row r="204" spans="1:20" s="12" customFormat="1" ht="30" customHeight="1" thickTop="1" thickBot="1" x14ac:dyDescent="0.4">
      <c r="A204" s="7">
        <v>1203</v>
      </c>
      <c r="B204" s="8">
        <v>45860</v>
      </c>
      <c r="C204" s="14" t="s">
        <v>28</v>
      </c>
      <c r="D204" s="14" t="s">
        <v>41</v>
      </c>
      <c r="E204" s="14" t="s">
        <v>25</v>
      </c>
      <c r="F204" s="14" t="s">
        <v>20</v>
      </c>
      <c r="G204" s="7">
        <v>2</v>
      </c>
      <c r="H204" s="7">
        <v>500</v>
      </c>
      <c r="I204" s="9">
        <v>5</v>
      </c>
      <c r="J204" s="10">
        <f>SALCE[[#This Row],[After_Discount]]*SALCE[[#This Row],[Tax_%]]/100</f>
        <v>1.33</v>
      </c>
      <c r="K204" s="11">
        <v>0.14000000000000001</v>
      </c>
      <c r="L204" s="10">
        <f>SALCE[[#This Row],[Quantity]]*SALCE[[#This Row],[Unit_Price]]</f>
        <v>1000</v>
      </c>
      <c r="M204" s="10">
        <f>SALCE[[#This Row],[Gross_Sales]]*SALCE[[#This Row],[Discount_%]]/100</f>
        <v>50</v>
      </c>
      <c r="N204" s="10">
        <f>SALCE[[#This Row],[After_Discount]]+SALCE[[#This Row],[Tax_Value]]</f>
        <v>951.33</v>
      </c>
      <c r="O204" s="10">
        <f>SALCE[[#This Row],[Gross_Sales]]*70%</f>
        <v>700</v>
      </c>
      <c r="P204" s="10">
        <f>SALCE[[#This Row],[Net_Sales]]-SALCE[[#This Row],[Cost_Price]]</f>
        <v>251.33000000000004</v>
      </c>
      <c r="Q204" s="10">
        <f>SALCE[[#This Row],[Gross_Sales]]-SALCE[[#This Row],[Discount_Value]]</f>
        <v>950</v>
      </c>
      <c r="R204" s="15" t="s">
        <v>60</v>
      </c>
      <c r="S204" s="15" t="s">
        <v>37</v>
      </c>
      <c r="T204" s="15" t="s">
        <v>22</v>
      </c>
    </row>
    <row r="205" spans="1:20" s="12" customFormat="1" ht="30" customHeight="1" thickTop="1" thickBot="1" x14ac:dyDescent="0.4">
      <c r="A205" s="7">
        <v>1204</v>
      </c>
      <c r="B205" s="8">
        <v>45861</v>
      </c>
      <c r="C205" s="14" t="s">
        <v>17</v>
      </c>
      <c r="D205" s="14" t="s">
        <v>41</v>
      </c>
      <c r="E205" s="14" t="s">
        <v>25</v>
      </c>
      <c r="F205" s="14" t="s">
        <v>20</v>
      </c>
      <c r="G205" s="7">
        <v>10</v>
      </c>
      <c r="H205" s="7">
        <v>500</v>
      </c>
      <c r="I205" s="9">
        <v>10</v>
      </c>
      <c r="J205" s="10">
        <f>SALCE[[#This Row],[After_Discount]]*SALCE[[#This Row],[Tax_%]]/100</f>
        <v>6.3000000000000007</v>
      </c>
      <c r="K205" s="11">
        <v>0.14000000000000001</v>
      </c>
      <c r="L205" s="10">
        <f>SALCE[[#This Row],[Quantity]]*SALCE[[#This Row],[Unit_Price]]</f>
        <v>5000</v>
      </c>
      <c r="M205" s="10">
        <f>SALCE[[#This Row],[Gross_Sales]]*SALCE[[#This Row],[Discount_%]]/100</f>
        <v>500</v>
      </c>
      <c r="N205" s="10">
        <f>SALCE[[#This Row],[After_Discount]]+SALCE[[#This Row],[Tax_Value]]</f>
        <v>4506.3</v>
      </c>
      <c r="O205" s="10">
        <f>SALCE[[#This Row],[Gross_Sales]]*70%</f>
        <v>3500</v>
      </c>
      <c r="P205" s="10">
        <f>SALCE[[#This Row],[Net_Sales]]-SALCE[[#This Row],[Cost_Price]]</f>
        <v>1006.3000000000002</v>
      </c>
      <c r="Q205" s="10">
        <f>SALCE[[#This Row],[Gross_Sales]]-SALCE[[#This Row],[Discount_Value]]</f>
        <v>4500</v>
      </c>
      <c r="R205" s="15" t="s">
        <v>50</v>
      </c>
      <c r="S205" s="15" t="s">
        <v>26</v>
      </c>
      <c r="T205" s="15" t="s">
        <v>22</v>
      </c>
    </row>
    <row r="206" spans="1:20" s="12" customFormat="1" ht="30" customHeight="1" thickTop="1" thickBot="1" x14ac:dyDescent="0.4">
      <c r="A206" s="7">
        <v>1205</v>
      </c>
      <c r="B206" s="8">
        <v>45862</v>
      </c>
      <c r="C206" s="14" t="s">
        <v>30</v>
      </c>
      <c r="D206" s="14" t="s">
        <v>18</v>
      </c>
      <c r="E206" s="14" t="s">
        <v>34</v>
      </c>
      <c r="F206" s="14" t="s">
        <v>32</v>
      </c>
      <c r="G206" s="7">
        <v>5</v>
      </c>
      <c r="H206" s="7">
        <v>4000</v>
      </c>
      <c r="I206" s="9">
        <v>10</v>
      </c>
      <c r="J206" s="10">
        <f>SALCE[[#This Row],[After_Discount]]*SALCE[[#This Row],[Tax_%]]/100</f>
        <v>25.200000000000003</v>
      </c>
      <c r="K206" s="11">
        <v>0.14000000000000001</v>
      </c>
      <c r="L206" s="10">
        <f>SALCE[[#This Row],[Quantity]]*SALCE[[#This Row],[Unit_Price]]</f>
        <v>20000</v>
      </c>
      <c r="M206" s="10">
        <f>SALCE[[#This Row],[Gross_Sales]]*SALCE[[#This Row],[Discount_%]]/100</f>
        <v>2000</v>
      </c>
      <c r="N206" s="10">
        <f>SALCE[[#This Row],[After_Discount]]+SALCE[[#This Row],[Tax_Value]]</f>
        <v>18025.2</v>
      </c>
      <c r="O206" s="10">
        <f>SALCE[[#This Row],[Gross_Sales]]*70%</f>
        <v>14000</v>
      </c>
      <c r="P206" s="10">
        <f>SALCE[[#This Row],[Net_Sales]]-SALCE[[#This Row],[Cost_Price]]</f>
        <v>4025.2000000000007</v>
      </c>
      <c r="Q206" s="10">
        <f>SALCE[[#This Row],[Gross_Sales]]-SALCE[[#This Row],[Discount_Value]]</f>
        <v>18000</v>
      </c>
      <c r="R206" s="15" t="s">
        <v>62</v>
      </c>
      <c r="S206" s="15" t="s">
        <v>37</v>
      </c>
      <c r="T206" s="15" t="s">
        <v>22</v>
      </c>
    </row>
    <row r="207" spans="1:20" s="12" customFormat="1" ht="30" customHeight="1" thickTop="1" thickBot="1" x14ac:dyDescent="0.4">
      <c r="A207" s="7">
        <v>1206</v>
      </c>
      <c r="B207" s="8">
        <v>45863</v>
      </c>
      <c r="C207" s="14" t="s">
        <v>30</v>
      </c>
      <c r="D207" s="14" t="s">
        <v>41</v>
      </c>
      <c r="E207" s="14" t="s">
        <v>40</v>
      </c>
      <c r="F207" s="14" t="s">
        <v>20</v>
      </c>
      <c r="G207" s="7">
        <v>10</v>
      </c>
      <c r="H207" s="7">
        <v>800</v>
      </c>
      <c r="I207" s="9">
        <v>0</v>
      </c>
      <c r="J207" s="10">
        <f>SALCE[[#This Row],[After_Discount]]*SALCE[[#This Row],[Tax_%]]/100</f>
        <v>11.2</v>
      </c>
      <c r="K207" s="11">
        <v>0.14000000000000001</v>
      </c>
      <c r="L207" s="10">
        <f>SALCE[[#This Row],[Quantity]]*SALCE[[#This Row],[Unit_Price]]</f>
        <v>8000</v>
      </c>
      <c r="M207" s="10">
        <f>SALCE[[#This Row],[Gross_Sales]]*SALCE[[#This Row],[Discount_%]]/100</f>
        <v>0</v>
      </c>
      <c r="N207" s="10">
        <f>SALCE[[#This Row],[After_Discount]]+SALCE[[#This Row],[Tax_Value]]</f>
        <v>8011.2</v>
      </c>
      <c r="O207" s="10">
        <f>SALCE[[#This Row],[Gross_Sales]]*70%</f>
        <v>5600</v>
      </c>
      <c r="P207" s="10">
        <f>SALCE[[#This Row],[Net_Sales]]-SALCE[[#This Row],[Cost_Price]]</f>
        <v>2411.1999999999998</v>
      </c>
      <c r="Q207" s="10">
        <f>SALCE[[#This Row],[Gross_Sales]]-SALCE[[#This Row],[Discount_Value]]</f>
        <v>8000</v>
      </c>
      <c r="R207" s="15" t="s">
        <v>52</v>
      </c>
      <c r="S207" s="15" t="s">
        <v>37</v>
      </c>
      <c r="T207" s="15" t="s">
        <v>27</v>
      </c>
    </row>
    <row r="208" spans="1:20" s="12" customFormat="1" ht="30" customHeight="1" thickTop="1" thickBot="1" x14ac:dyDescent="0.4">
      <c r="A208" s="7">
        <v>1207</v>
      </c>
      <c r="B208" s="8">
        <v>45864</v>
      </c>
      <c r="C208" s="14" t="s">
        <v>17</v>
      </c>
      <c r="D208" s="14" t="s">
        <v>29</v>
      </c>
      <c r="E208" s="14" t="s">
        <v>33</v>
      </c>
      <c r="F208" s="14" t="s">
        <v>32</v>
      </c>
      <c r="G208" s="7">
        <v>2</v>
      </c>
      <c r="H208" s="7">
        <v>6000</v>
      </c>
      <c r="I208" s="9">
        <v>10</v>
      </c>
      <c r="J208" s="10">
        <f>SALCE[[#This Row],[After_Discount]]*SALCE[[#This Row],[Tax_%]]/100</f>
        <v>15.120000000000003</v>
      </c>
      <c r="K208" s="11">
        <v>0.14000000000000001</v>
      </c>
      <c r="L208" s="10">
        <f>SALCE[[#This Row],[Quantity]]*SALCE[[#This Row],[Unit_Price]]</f>
        <v>12000</v>
      </c>
      <c r="M208" s="10">
        <f>SALCE[[#This Row],[Gross_Sales]]*SALCE[[#This Row],[Discount_%]]/100</f>
        <v>1200</v>
      </c>
      <c r="N208" s="10">
        <f>SALCE[[#This Row],[After_Discount]]+SALCE[[#This Row],[Tax_Value]]</f>
        <v>10815.12</v>
      </c>
      <c r="O208" s="10">
        <f>SALCE[[#This Row],[Gross_Sales]]*70%</f>
        <v>8400</v>
      </c>
      <c r="P208" s="10">
        <f>SALCE[[#This Row],[Net_Sales]]-SALCE[[#This Row],[Cost_Price]]</f>
        <v>2415.1200000000008</v>
      </c>
      <c r="Q208" s="10">
        <f>SALCE[[#This Row],[Gross_Sales]]-SALCE[[#This Row],[Discount_Value]]</f>
        <v>10800</v>
      </c>
      <c r="R208" s="15" t="s">
        <v>61</v>
      </c>
      <c r="S208" s="15" t="s">
        <v>37</v>
      </c>
      <c r="T208" s="15" t="s">
        <v>27</v>
      </c>
    </row>
    <row r="209" spans="1:20" s="12" customFormat="1" ht="30" customHeight="1" thickTop="1" thickBot="1" x14ac:dyDescent="0.4">
      <c r="A209" s="7">
        <v>1208</v>
      </c>
      <c r="B209" s="8">
        <v>45865</v>
      </c>
      <c r="C209" s="14" t="s">
        <v>35</v>
      </c>
      <c r="D209" s="14" t="s">
        <v>36</v>
      </c>
      <c r="E209" s="14" t="s">
        <v>34</v>
      </c>
      <c r="F209" s="14" t="s">
        <v>32</v>
      </c>
      <c r="G209" s="7">
        <v>2</v>
      </c>
      <c r="H209" s="7">
        <v>4000</v>
      </c>
      <c r="I209" s="9">
        <v>10</v>
      </c>
      <c r="J209" s="10">
        <f>SALCE[[#This Row],[After_Discount]]*SALCE[[#This Row],[Tax_%]]/100</f>
        <v>10.080000000000002</v>
      </c>
      <c r="K209" s="11">
        <v>0.14000000000000001</v>
      </c>
      <c r="L209" s="10">
        <f>SALCE[[#This Row],[Quantity]]*SALCE[[#This Row],[Unit_Price]]</f>
        <v>8000</v>
      </c>
      <c r="M209" s="10">
        <f>SALCE[[#This Row],[Gross_Sales]]*SALCE[[#This Row],[Discount_%]]/100</f>
        <v>800</v>
      </c>
      <c r="N209" s="10">
        <f>SALCE[[#This Row],[After_Discount]]+SALCE[[#This Row],[Tax_Value]]</f>
        <v>7210.08</v>
      </c>
      <c r="O209" s="10">
        <f>SALCE[[#This Row],[Gross_Sales]]*70%</f>
        <v>5600</v>
      </c>
      <c r="P209" s="10">
        <f>SALCE[[#This Row],[Net_Sales]]-SALCE[[#This Row],[Cost_Price]]</f>
        <v>1610.08</v>
      </c>
      <c r="Q209" s="10">
        <f>SALCE[[#This Row],[Gross_Sales]]-SALCE[[#This Row],[Discount_Value]]</f>
        <v>7200</v>
      </c>
      <c r="R209" s="15" t="s">
        <v>62</v>
      </c>
      <c r="S209" s="15" t="s">
        <v>37</v>
      </c>
      <c r="T209" s="15" t="s">
        <v>22</v>
      </c>
    </row>
    <row r="210" spans="1:20" s="12" customFormat="1" ht="30" customHeight="1" thickTop="1" thickBot="1" x14ac:dyDescent="0.4">
      <c r="A210" s="7">
        <v>1209</v>
      </c>
      <c r="B210" s="8">
        <v>45866</v>
      </c>
      <c r="C210" s="14" t="s">
        <v>17</v>
      </c>
      <c r="D210" s="14" t="s">
        <v>29</v>
      </c>
      <c r="E210" s="14" t="s">
        <v>19</v>
      </c>
      <c r="F210" s="14" t="s">
        <v>20</v>
      </c>
      <c r="G210" s="7">
        <v>7</v>
      </c>
      <c r="H210" s="7">
        <v>300</v>
      </c>
      <c r="I210" s="9">
        <v>15</v>
      </c>
      <c r="J210" s="10">
        <f>SALCE[[#This Row],[After_Discount]]*SALCE[[#This Row],[Tax_%]]/100</f>
        <v>2.4990000000000006</v>
      </c>
      <c r="K210" s="11">
        <v>0.14000000000000001</v>
      </c>
      <c r="L210" s="10">
        <f>SALCE[[#This Row],[Quantity]]*SALCE[[#This Row],[Unit_Price]]</f>
        <v>2100</v>
      </c>
      <c r="M210" s="10">
        <f>SALCE[[#This Row],[Gross_Sales]]*SALCE[[#This Row],[Discount_%]]/100</f>
        <v>315</v>
      </c>
      <c r="N210" s="10">
        <f>SALCE[[#This Row],[After_Discount]]+SALCE[[#This Row],[Tax_Value]]</f>
        <v>1787.499</v>
      </c>
      <c r="O210" s="10">
        <f>SALCE[[#This Row],[Gross_Sales]]*70%</f>
        <v>1470</v>
      </c>
      <c r="P210" s="10">
        <f>SALCE[[#This Row],[Net_Sales]]-SALCE[[#This Row],[Cost_Price]]</f>
        <v>317.49900000000002</v>
      </c>
      <c r="Q210" s="10">
        <f>SALCE[[#This Row],[Gross_Sales]]-SALCE[[#This Row],[Discount_Value]]</f>
        <v>1785</v>
      </c>
      <c r="R210" s="15" t="s">
        <v>59</v>
      </c>
      <c r="S210" s="15" t="s">
        <v>37</v>
      </c>
      <c r="T210" s="15" t="s">
        <v>27</v>
      </c>
    </row>
    <row r="211" spans="1:20" s="12" customFormat="1" ht="30" customHeight="1" thickTop="1" thickBot="1" x14ac:dyDescent="0.4">
      <c r="A211" s="7">
        <v>1210</v>
      </c>
      <c r="B211" s="8">
        <v>45867</v>
      </c>
      <c r="C211" s="14" t="s">
        <v>30</v>
      </c>
      <c r="D211" s="14" t="s">
        <v>29</v>
      </c>
      <c r="E211" s="14" t="s">
        <v>33</v>
      </c>
      <c r="F211" s="14" t="s">
        <v>32</v>
      </c>
      <c r="G211" s="7">
        <v>6</v>
      </c>
      <c r="H211" s="7">
        <v>6000</v>
      </c>
      <c r="I211" s="9">
        <v>0</v>
      </c>
      <c r="J211" s="10">
        <f>SALCE[[#This Row],[After_Discount]]*SALCE[[#This Row],[Tax_%]]/100</f>
        <v>50.400000000000006</v>
      </c>
      <c r="K211" s="11">
        <v>0.14000000000000001</v>
      </c>
      <c r="L211" s="10">
        <f>SALCE[[#This Row],[Quantity]]*SALCE[[#This Row],[Unit_Price]]</f>
        <v>36000</v>
      </c>
      <c r="M211" s="10">
        <f>SALCE[[#This Row],[Gross_Sales]]*SALCE[[#This Row],[Discount_%]]/100</f>
        <v>0</v>
      </c>
      <c r="N211" s="10">
        <f>SALCE[[#This Row],[After_Discount]]+SALCE[[#This Row],[Tax_Value]]</f>
        <v>36050.400000000001</v>
      </c>
      <c r="O211" s="10">
        <f>SALCE[[#This Row],[Gross_Sales]]*70%</f>
        <v>25200</v>
      </c>
      <c r="P211" s="10">
        <f>SALCE[[#This Row],[Net_Sales]]-SALCE[[#This Row],[Cost_Price]]</f>
        <v>10850.400000000001</v>
      </c>
      <c r="Q211" s="10">
        <f>SALCE[[#This Row],[Gross_Sales]]-SALCE[[#This Row],[Discount_Value]]</f>
        <v>36000</v>
      </c>
      <c r="R211" s="15" t="s">
        <v>59</v>
      </c>
      <c r="S211" s="15" t="s">
        <v>26</v>
      </c>
      <c r="T211" s="15" t="s">
        <v>27</v>
      </c>
    </row>
    <row r="212" spans="1:20" s="12" customFormat="1" ht="30" customHeight="1" thickTop="1" thickBot="1" x14ac:dyDescent="0.4">
      <c r="A212" s="7">
        <v>1211</v>
      </c>
      <c r="B212" s="8">
        <v>45868</v>
      </c>
      <c r="C212" s="14" t="s">
        <v>17</v>
      </c>
      <c r="D212" s="14" t="s">
        <v>36</v>
      </c>
      <c r="E212" s="14" t="s">
        <v>19</v>
      </c>
      <c r="F212" s="14" t="s">
        <v>20</v>
      </c>
      <c r="G212" s="7">
        <v>4</v>
      </c>
      <c r="H212" s="7">
        <v>300</v>
      </c>
      <c r="I212" s="9">
        <v>10</v>
      </c>
      <c r="J212" s="10">
        <f>SALCE[[#This Row],[After_Discount]]*SALCE[[#This Row],[Tax_%]]/100</f>
        <v>1.5120000000000002</v>
      </c>
      <c r="K212" s="11">
        <v>0.14000000000000001</v>
      </c>
      <c r="L212" s="10">
        <f>SALCE[[#This Row],[Quantity]]*SALCE[[#This Row],[Unit_Price]]</f>
        <v>1200</v>
      </c>
      <c r="M212" s="10">
        <f>SALCE[[#This Row],[Gross_Sales]]*SALCE[[#This Row],[Discount_%]]/100</f>
        <v>120</v>
      </c>
      <c r="N212" s="10">
        <f>SALCE[[#This Row],[After_Discount]]+SALCE[[#This Row],[Tax_Value]]</f>
        <v>1081.5119999999999</v>
      </c>
      <c r="O212" s="10">
        <f>SALCE[[#This Row],[Gross_Sales]]*70%</f>
        <v>840</v>
      </c>
      <c r="P212" s="10">
        <f>SALCE[[#This Row],[Net_Sales]]-SALCE[[#This Row],[Cost_Price]]</f>
        <v>241.51199999999994</v>
      </c>
      <c r="Q212" s="10">
        <f>SALCE[[#This Row],[Gross_Sales]]-SALCE[[#This Row],[Discount_Value]]</f>
        <v>1080</v>
      </c>
      <c r="R212" s="15" t="s">
        <v>49</v>
      </c>
      <c r="S212" s="15" t="s">
        <v>26</v>
      </c>
      <c r="T212" s="15" t="s">
        <v>27</v>
      </c>
    </row>
    <row r="213" spans="1:20" s="12" customFormat="1" ht="30" customHeight="1" thickTop="1" thickBot="1" x14ac:dyDescent="0.4">
      <c r="A213" s="7">
        <v>1212</v>
      </c>
      <c r="B213" s="8">
        <v>45869</v>
      </c>
      <c r="C213" s="14" t="s">
        <v>35</v>
      </c>
      <c r="D213" s="14" t="s">
        <v>18</v>
      </c>
      <c r="E213" s="14" t="s">
        <v>19</v>
      </c>
      <c r="F213" s="14" t="s">
        <v>20</v>
      </c>
      <c r="G213" s="7">
        <v>8</v>
      </c>
      <c r="H213" s="7">
        <v>300</v>
      </c>
      <c r="I213" s="9">
        <v>0</v>
      </c>
      <c r="J213" s="10">
        <f>SALCE[[#This Row],[After_Discount]]*SALCE[[#This Row],[Tax_%]]/100</f>
        <v>3.3600000000000008</v>
      </c>
      <c r="K213" s="11">
        <v>0.14000000000000001</v>
      </c>
      <c r="L213" s="10">
        <f>SALCE[[#This Row],[Quantity]]*SALCE[[#This Row],[Unit_Price]]</f>
        <v>2400</v>
      </c>
      <c r="M213" s="10">
        <f>SALCE[[#This Row],[Gross_Sales]]*SALCE[[#This Row],[Discount_%]]/100</f>
        <v>0</v>
      </c>
      <c r="N213" s="10">
        <f>SALCE[[#This Row],[After_Discount]]+SALCE[[#This Row],[Tax_Value]]</f>
        <v>2403.36</v>
      </c>
      <c r="O213" s="10">
        <f>SALCE[[#This Row],[Gross_Sales]]*70%</f>
        <v>1680</v>
      </c>
      <c r="P213" s="10">
        <f>SALCE[[#This Row],[Net_Sales]]-SALCE[[#This Row],[Cost_Price]]</f>
        <v>723.36000000000013</v>
      </c>
      <c r="Q213" s="10">
        <f>SALCE[[#This Row],[Gross_Sales]]-SALCE[[#This Row],[Discount_Value]]</f>
        <v>2400</v>
      </c>
      <c r="R213" s="15" t="s">
        <v>47</v>
      </c>
      <c r="S213" s="15" t="s">
        <v>26</v>
      </c>
      <c r="T213" s="15" t="s">
        <v>22</v>
      </c>
    </row>
    <row r="214" spans="1:20" s="12" customFormat="1" ht="30" customHeight="1" thickTop="1" thickBot="1" x14ac:dyDescent="0.4">
      <c r="A214" s="7">
        <v>1213</v>
      </c>
      <c r="B214" s="8">
        <v>45870</v>
      </c>
      <c r="C214" s="14" t="s">
        <v>39</v>
      </c>
      <c r="D214" s="14" t="s">
        <v>38</v>
      </c>
      <c r="E214" s="14" t="s">
        <v>25</v>
      </c>
      <c r="F214" s="14" t="s">
        <v>20</v>
      </c>
      <c r="G214" s="7">
        <v>9</v>
      </c>
      <c r="H214" s="7">
        <v>500</v>
      </c>
      <c r="I214" s="9">
        <v>15</v>
      </c>
      <c r="J214" s="10">
        <f>SALCE[[#This Row],[After_Discount]]*SALCE[[#This Row],[Tax_%]]/100</f>
        <v>5.3550000000000004</v>
      </c>
      <c r="K214" s="11">
        <v>0.14000000000000001</v>
      </c>
      <c r="L214" s="10">
        <f>SALCE[[#This Row],[Quantity]]*SALCE[[#This Row],[Unit_Price]]</f>
        <v>4500</v>
      </c>
      <c r="M214" s="10">
        <f>SALCE[[#This Row],[Gross_Sales]]*SALCE[[#This Row],[Discount_%]]/100</f>
        <v>675</v>
      </c>
      <c r="N214" s="10">
        <f>SALCE[[#This Row],[After_Discount]]+SALCE[[#This Row],[Tax_Value]]</f>
        <v>3830.355</v>
      </c>
      <c r="O214" s="10">
        <f>SALCE[[#This Row],[Gross_Sales]]*70%</f>
        <v>3150</v>
      </c>
      <c r="P214" s="10">
        <f>SALCE[[#This Row],[Net_Sales]]-SALCE[[#This Row],[Cost_Price]]</f>
        <v>680.35500000000002</v>
      </c>
      <c r="Q214" s="10">
        <f>SALCE[[#This Row],[Gross_Sales]]-SALCE[[#This Row],[Discount_Value]]</f>
        <v>3825</v>
      </c>
      <c r="R214" s="15" t="s">
        <v>57</v>
      </c>
      <c r="S214" s="15" t="s">
        <v>21</v>
      </c>
      <c r="T214" s="15" t="s">
        <v>22</v>
      </c>
    </row>
    <row r="215" spans="1:20" s="12" customFormat="1" ht="30" customHeight="1" thickTop="1" thickBot="1" x14ac:dyDescent="0.4">
      <c r="A215" s="7">
        <v>1214</v>
      </c>
      <c r="B215" s="8">
        <v>45871</v>
      </c>
      <c r="C215" s="14" t="s">
        <v>30</v>
      </c>
      <c r="D215" s="14" t="s">
        <v>36</v>
      </c>
      <c r="E215" s="14" t="s">
        <v>40</v>
      </c>
      <c r="F215" s="14" t="s">
        <v>20</v>
      </c>
      <c r="G215" s="7">
        <v>5</v>
      </c>
      <c r="H215" s="7">
        <v>800</v>
      </c>
      <c r="I215" s="9">
        <v>10</v>
      </c>
      <c r="J215" s="10">
        <f>SALCE[[#This Row],[After_Discount]]*SALCE[[#This Row],[Tax_%]]/100</f>
        <v>5.0400000000000009</v>
      </c>
      <c r="K215" s="11">
        <v>0.14000000000000001</v>
      </c>
      <c r="L215" s="10">
        <f>SALCE[[#This Row],[Quantity]]*SALCE[[#This Row],[Unit_Price]]</f>
        <v>4000</v>
      </c>
      <c r="M215" s="10">
        <f>SALCE[[#This Row],[Gross_Sales]]*SALCE[[#This Row],[Discount_%]]/100</f>
        <v>400</v>
      </c>
      <c r="N215" s="10">
        <f>SALCE[[#This Row],[After_Discount]]+SALCE[[#This Row],[Tax_Value]]</f>
        <v>3605.04</v>
      </c>
      <c r="O215" s="10">
        <f>SALCE[[#This Row],[Gross_Sales]]*70%</f>
        <v>2800</v>
      </c>
      <c r="P215" s="10">
        <f>SALCE[[#This Row],[Net_Sales]]-SALCE[[#This Row],[Cost_Price]]</f>
        <v>805.04</v>
      </c>
      <c r="Q215" s="10">
        <f>SALCE[[#This Row],[Gross_Sales]]-SALCE[[#This Row],[Discount_Value]]</f>
        <v>3600</v>
      </c>
      <c r="R215" s="15" t="s">
        <v>54</v>
      </c>
      <c r="S215" s="15" t="s">
        <v>26</v>
      </c>
      <c r="T215" s="15" t="s">
        <v>22</v>
      </c>
    </row>
    <row r="216" spans="1:20" s="12" customFormat="1" ht="30" customHeight="1" thickTop="1" thickBot="1" x14ac:dyDescent="0.4">
      <c r="A216" s="7">
        <v>1215</v>
      </c>
      <c r="B216" s="8">
        <v>45872</v>
      </c>
      <c r="C216" s="14" t="s">
        <v>23</v>
      </c>
      <c r="D216" s="14" t="s">
        <v>38</v>
      </c>
      <c r="E216" s="14" t="s">
        <v>33</v>
      </c>
      <c r="F216" s="14" t="s">
        <v>32</v>
      </c>
      <c r="G216" s="7">
        <v>4</v>
      </c>
      <c r="H216" s="7">
        <v>6000</v>
      </c>
      <c r="I216" s="9">
        <v>0</v>
      </c>
      <c r="J216" s="10">
        <f>SALCE[[#This Row],[After_Discount]]*SALCE[[#This Row],[Tax_%]]/100</f>
        <v>33.6</v>
      </c>
      <c r="K216" s="11">
        <v>0.14000000000000001</v>
      </c>
      <c r="L216" s="10">
        <f>SALCE[[#This Row],[Quantity]]*SALCE[[#This Row],[Unit_Price]]</f>
        <v>24000</v>
      </c>
      <c r="M216" s="10">
        <f>SALCE[[#This Row],[Gross_Sales]]*SALCE[[#This Row],[Discount_%]]/100</f>
        <v>0</v>
      </c>
      <c r="N216" s="10">
        <f>SALCE[[#This Row],[After_Discount]]+SALCE[[#This Row],[Tax_Value]]</f>
        <v>24033.599999999999</v>
      </c>
      <c r="O216" s="10">
        <f>SALCE[[#This Row],[Gross_Sales]]*70%</f>
        <v>16800</v>
      </c>
      <c r="P216" s="10">
        <f>SALCE[[#This Row],[Net_Sales]]-SALCE[[#This Row],[Cost_Price]]</f>
        <v>7233.5999999999985</v>
      </c>
      <c r="Q216" s="10">
        <f>SALCE[[#This Row],[Gross_Sales]]-SALCE[[#This Row],[Discount_Value]]</f>
        <v>24000</v>
      </c>
      <c r="R216" s="15" t="s">
        <v>53</v>
      </c>
      <c r="S216" s="15" t="s">
        <v>37</v>
      </c>
      <c r="T216" s="15" t="s">
        <v>27</v>
      </c>
    </row>
    <row r="217" spans="1:20" s="12" customFormat="1" ht="30" customHeight="1" thickTop="1" thickBot="1" x14ac:dyDescent="0.4">
      <c r="A217" s="7">
        <v>1216</v>
      </c>
      <c r="B217" s="8">
        <v>45873</v>
      </c>
      <c r="C217" s="14" t="s">
        <v>23</v>
      </c>
      <c r="D217" s="14" t="s">
        <v>38</v>
      </c>
      <c r="E217" s="14" t="s">
        <v>33</v>
      </c>
      <c r="F217" s="14" t="s">
        <v>32</v>
      </c>
      <c r="G217" s="7">
        <v>6</v>
      </c>
      <c r="H217" s="7">
        <v>6000</v>
      </c>
      <c r="I217" s="9">
        <v>15</v>
      </c>
      <c r="J217" s="10">
        <f>SALCE[[#This Row],[After_Discount]]*SALCE[[#This Row],[Tax_%]]/100</f>
        <v>42.84</v>
      </c>
      <c r="K217" s="11">
        <v>0.14000000000000001</v>
      </c>
      <c r="L217" s="10">
        <f>SALCE[[#This Row],[Quantity]]*SALCE[[#This Row],[Unit_Price]]</f>
        <v>36000</v>
      </c>
      <c r="M217" s="10">
        <f>SALCE[[#This Row],[Gross_Sales]]*SALCE[[#This Row],[Discount_%]]/100</f>
        <v>5400</v>
      </c>
      <c r="N217" s="10">
        <f>SALCE[[#This Row],[After_Discount]]+SALCE[[#This Row],[Tax_Value]]</f>
        <v>30642.84</v>
      </c>
      <c r="O217" s="10">
        <f>SALCE[[#This Row],[Gross_Sales]]*70%</f>
        <v>25200</v>
      </c>
      <c r="P217" s="10">
        <f>SALCE[[#This Row],[Net_Sales]]-SALCE[[#This Row],[Cost_Price]]</f>
        <v>5442.84</v>
      </c>
      <c r="Q217" s="10">
        <f>SALCE[[#This Row],[Gross_Sales]]-SALCE[[#This Row],[Discount_Value]]</f>
        <v>30600</v>
      </c>
      <c r="R217" s="15" t="s">
        <v>62</v>
      </c>
      <c r="S217" s="15" t="s">
        <v>21</v>
      </c>
      <c r="T217" s="15" t="s">
        <v>22</v>
      </c>
    </row>
    <row r="218" spans="1:20" s="12" customFormat="1" ht="30" customHeight="1" thickTop="1" thickBot="1" x14ac:dyDescent="0.4">
      <c r="A218" s="7">
        <v>1217</v>
      </c>
      <c r="B218" s="8">
        <v>45874</v>
      </c>
      <c r="C218" s="14" t="s">
        <v>28</v>
      </c>
      <c r="D218" s="14" t="s">
        <v>41</v>
      </c>
      <c r="E218" s="14" t="s">
        <v>33</v>
      </c>
      <c r="F218" s="14" t="s">
        <v>32</v>
      </c>
      <c r="G218" s="7">
        <v>3</v>
      </c>
      <c r="H218" s="7">
        <v>6000</v>
      </c>
      <c r="I218" s="9">
        <v>10</v>
      </c>
      <c r="J218" s="10">
        <f>SALCE[[#This Row],[After_Discount]]*SALCE[[#This Row],[Tax_%]]/100</f>
        <v>22.68</v>
      </c>
      <c r="K218" s="11">
        <v>0.14000000000000001</v>
      </c>
      <c r="L218" s="10">
        <f>SALCE[[#This Row],[Quantity]]*SALCE[[#This Row],[Unit_Price]]</f>
        <v>18000</v>
      </c>
      <c r="M218" s="10">
        <f>SALCE[[#This Row],[Gross_Sales]]*SALCE[[#This Row],[Discount_%]]/100</f>
        <v>1800</v>
      </c>
      <c r="N218" s="10">
        <f>SALCE[[#This Row],[After_Discount]]+SALCE[[#This Row],[Tax_Value]]</f>
        <v>16222.68</v>
      </c>
      <c r="O218" s="10">
        <f>SALCE[[#This Row],[Gross_Sales]]*70%</f>
        <v>12600</v>
      </c>
      <c r="P218" s="10">
        <f>SALCE[[#This Row],[Net_Sales]]-SALCE[[#This Row],[Cost_Price]]</f>
        <v>3622.6800000000003</v>
      </c>
      <c r="Q218" s="10">
        <f>SALCE[[#This Row],[Gross_Sales]]-SALCE[[#This Row],[Discount_Value]]</f>
        <v>16200</v>
      </c>
      <c r="R218" s="15" t="s">
        <v>58</v>
      </c>
      <c r="S218" s="15" t="s">
        <v>26</v>
      </c>
      <c r="T218" s="15" t="s">
        <v>22</v>
      </c>
    </row>
    <row r="219" spans="1:20" s="12" customFormat="1" ht="30" customHeight="1" thickTop="1" thickBot="1" x14ac:dyDescent="0.4">
      <c r="A219" s="7">
        <v>1218</v>
      </c>
      <c r="B219" s="8">
        <v>45875</v>
      </c>
      <c r="C219" s="14" t="s">
        <v>17</v>
      </c>
      <c r="D219" s="14" t="s">
        <v>29</v>
      </c>
      <c r="E219" s="14" t="s">
        <v>19</v>
      </c>
      <c r="F219" s="14" t="s">
        <v>20</v>
      </c>
      <c r="G219" s="7">
        <v>9</v>
      </c>
      <c r="H219" s="7">
        <v>300</v>
      </c>
      <c r="I219" s="9">
        <v>5</v>
      </c>
      <c r="J219" s="10">
        <f>SALCE[[#This Row],[After_Discount]]*SALCE[[#This Row],[Tax_%]]/100</f>
        <v>3.5910000000000002</v>
      </c>
      <c r="K219" s="11">
        <v>0.14000000000000001</v>
      </c>
      <c r="L219" s="10">
        <f>SALCE[[#This Row],[Quantity]]*SALCE[[#This Row],[Unit_Price]]</f>
        <v>2700</v>
      </c>
      <c r="M219" s="10">
        <f>SALCE[[#This Row],[Gross_Sales]]*SALCE[[#This Row],[Discount_%]]/100</f>
        <v>135</v>
      </c>
      <c r="N219" s="10">
        <f>SALCE[[#This Row],[After_Discount]]+SALCE[[#This Row],[Tax_Value]]</f>
        <v>2568.5909999999999</v>
      </c>
      <c r="O219" s="10">
        <f>SALCE[[#This Row],[Gross_Sales]]*70%</f>
        <v>1889.9999999999998</v>
      </c>
      <c r="P219" s="10">
        <f>SALCE[[#This Row],[Net_Sales]]-SALCE[[#This Row],[Cost_Price]]</f>
        <v>678.59100000000012</v>
      </c>
      <c r="Q219" s="10">
        <f>SALCE[[#This Row],[Gross_Sales]]-SALCE[[#This Row],[Discount_Value]]</f>
        <v>2565</v>
      </c>
      <c r="R219" s="15" t="s">
        <v>52</v>
      </c>
      <c r="S219" s="15" t="s">
        <v>37</v>
      </c>
      <c r="T219" s="15" t="s">
        <v>27</v>
      </c>
    </row>
    <row r="220" spans="1:20" s="12" customFormat="1" ht="30" customHeight="1" thickTop="1" thickBot="1" x14ac:dyDescent="0.4">
      <c r="A220" s="7">
        <v>1219</v>
      </c>
      <c r="B220" s="8">
        <v>45876</v>
      </c>
      <c r="C220" s="14" t="s">
        <v>35</v>
      </c>
      <c r="D220" s="14" t="s">
        <v>29</v>
      </c>
      <c r="E220" s="14" t="s">
        <v>34</v>
      </c>
      <c r="F220" s="14" t="s">
        <v>32</v>
      </c>
      <c r="G220" s="7">
        <v>7</v>
      </c>
      <c r="H220" s="7">
        <v>4000</v>
      </c>
      <c r="I220" s="9">
        <v>10</v>
      </c>
      <c r="J220" s="10">
        <f>SALCE[[#This Row],[After_Discount]]*SALCE[[#This Row],[Tax_%]]/100</f>
        <v>35.28</v>
      </c>
      <c r="K220" s="11">
        <v>0.14000000000000001</v>
      </c>
      <c r="L220" s="10">
        <f>SALCE[[#This Row],[Quantity]]*SALCE[[#This Row],[Unit_Price]]</f>
        <v>28000</v>
      </c>
      <c r="M220" s="10">
        <f>SALCE[[#This Row],[Gross_Sales]]*SALCE[[#This Row],[Discount_%]]/100</f>
        <v>2800</v>
      </c>
      <c r="N220" s="10">
        <f>SALCE[[#This Row],[After_Discount]]+SALCE[[#This Row],[Tax_Value]]</f>
        <v>25235.279999999999</v>
      </c>
      <c r="O220" s="10">
        <f>SALCE[[#This Row],[Gross_Sales]]*70%</f>
        <v>19600</v>
      </c>
      <c r="P220" s="10">
        <f>SALCE[[#This Row],[Net_Sales]]-SALCE[[#This Row],[Cost_Price]]</f>
        <v>5635.2799999999988</v>
      </c>
      <c r="Q220" s="10">
        <f>SALCE[[#This Row],[Gross_Sales]]-SALCE[[#This Row],[Discount_Value]]</f>
        <v>25200</v>
      </c>
      <c r="R220" s="15" t="s">
        <v>57</v>
      </c>
      <c r="S220" s="15" t="s">
        <v>26</v>
      </c>
      <c r="T220" s="15" t="s">
        <v>22</v>
      </c>
    </row>
    <row r="221" spans="1:20" s="12" customFormat="1" ht="30" customHeight="1" thickTop="1" thickBot="1" x14ac:dyDescent="0.4">
      <c r="A221" s="7">
        <v>1220</v>
      </c>
      <c r="B221" s="8">
        <v>45877</v>
      </c>
      <c r="C221" s="14" t="s">
        <v>23</v>
      </c>
      <c r="D221" s="14" t="s">
        <v>18</v>
      </c>
      <c r="E221" s="14" t="s">
        <v>19</v>
      </c>
      <c r="F221" s="14" t="s">
        <v>20</v>
      </c>
      <c r="G221" s="7">
        <v>7</v>
      </c>
      <c r="H221" s="7">
        <v>300</v>
      </c>
      <c r="I221" s="9">
        <v>0</v>
      </c>
      <c r="J221" s="10">
        <f>SALCE[[#This Row],[After_Discount]]*SALCE[[#This Row],[Tax_%]]/100</f>
        <v>2.94</v>
      </c>
      <c r="K221" s="11">
        <v>0.14000000000000001</v>
      </c>
      <c r="L221" s="10">
        <f>SALCE[[#This Row],[Quantity]]*SALCE[[#This Row],[Unit_Price]]</f>
        <v>2100</v>
      </c>
      <c r="M221" s="10">
        <f>SALCE[[#This Row],[Gross_Sales]]*SALCE[[#This Row],[Discount_%]]/100</f>
        <v>0</v>
      </c>
      <c r="N221" s="10">
        <f>SALCE[[#This Row],[After_Discount]]+SALCE[[#This Row],[Tax_Value]]</f>
        <v>2102.94</v>
      </c>
      <c r="O221" s="10">
        <f>SALCE[[#This Row],[Gross_Sales]]*70%</f>
        <v>1470</v>
      </c>
      <c r="P221" s="10">
        <f>SALCE[[#This Row],[Net_Sales]]-SALCE[[#This Row],[Cost_Price]]</f>
        <v>632.94000000000005</v>
      </c>
      <c r="Q221" s="10">
        <f>SALCE[[#This Row],[Gross_Sales]]-SALCE[[#This Row],[Discount_Value]]</f>
        <v>2100</v>
      </c>
      <c r="R221" s="15" t="s">
        <v>56</v>
      </c>
      <c r="S221" s="15" t="s">
        <v>37</v>
      </c>
      <c r="T221" s="15" t="s">
        <v>27</v>
      </c>
    </row>
    <row r="222" spans="1:20" s="12" customFormat="1" ht="30" customHeight="1" thickTop="1" thickBot="1" x14ac:dyDescent="0.4">
      <c r="A222" s="7">
        <v>1221</v>
      </c>
      <c r="B222" s="8">
        <v>45878</v>
      </c>
      <c r="C222" s="14" t="s">
        <v>35</v>
      </c>
      <c r="D222" s="14" t="s">
        <v>41</v>
      </c>
      <c r="E222" s="14" t="s">
        <v>33</v>
      </c>
      <c r="F222" s="14" t="s">
        <v>32</v>
      </c>
      <c r="G222" s="7">
        <v>5</v>
      </c>
      <c r="H222" s="7">
        <v>6000</v>
      </c>
      <c r="I222" s="9">
        <v>10</v>
      </c>
      <c r="J222" s="10">
        <f>SALCE[[#This Row],[After_Discount]]*SALCE[[#This Row],[Tax_%]]/100</f>
        <v>37.800000000000004</v>
      </c>
      <c r="K222" s="11">
        <v>0.14000000000000001</v>
      </c>
      <c r="L222" s="10">
        <f>SALCE[[#This Row],[Quantity]]*SALCE[[#This Row],[Unit_Price]]</f>
        <v>30000</v>
      </c>
      <c r="M222" s="10">
        <f>SALCE[[#This Row],[Gross_Sales]]*SALCE[[#This Row],[Discount_%]]/100</f>
        <v>3000</v>
      </c>
      <c r="N222" s="10">
        <f>SALCE[[#This Row],[After_Discount]]+SALCE[[#This Row],[Tax_Value]]</f>
        <v>27037.8</v>
      </c>
      <c r="O222" s="10">
        <f>SALCE[[#This Row],[Gross_Sales]]*70%</f>
        <v>21000</v>
      </c>
      <c r="P222" s="10">
        <f>SALCE[[#This Row],[Net_Sales]]-SALCE[[#This Row],[Cost_Price]]</f>
        <v>6037.7999999999993</v>
      </c>
      <c r="Q222" s="10">
        <f>SALCE[[#This Row],[Gross_Sales]]-SALCE[[#This Row],[Discount_Value]]</f>
        <v>27000</v>
      </c>
      <c r="R222" s="15" t="s">
        <v>47</v>
      </c>
      <c r="S222" s="15" t="s">
        <v>21</v>
      </c>
      <c r="T222" s="15" t="s">
        <v>22</v>
      </c>
    </row>
    <row r="223" spans="1:20" s="12" customFormat="1" ht="30" customHeight="1" thickTop="1" thickBot="1" x14ac:dyDescent="0.4">
      <c r="A223" s="7">
        <v>1222</v>
      </c>
      <c r="B223" s="8">
        <v>45879</v>
      </c>
      <c r="C223" s="14" t="s">
        <v>17</v>
      </c>
      <c r="D223" s="14" t="s">
        <v>29</v>
      </c>
      <c r="E223" s="14" t="s">
        <v>31</v>
      </c>
      <c r="F223" s="14" t="s">
        <v>32</v>
      </c>
      <c r="G223" s="7">
        <v>1</v>
      </c>
      <c r="H223" s="7">
        <v>15000</v>
      </c>
      <c r="I223" s="9">
        <v>15</v>
      </c>
      <c r="J223" s="10">
        <f>SALCE[[#This Row],[After_Discount]]*SALCE[[#This Row],[Tax_%]]/100</f>
        <v>17.850000000000001</v>
      </c>
      <c r="K223" s="11">
        <v>0.14000000000000001</v>
      </c>
      <c r="L223" s="10">
        <f>SALCE[[#This Row],[Quantity]]*SALCE[[#This Row],[Unit_Price]]</f>
        <v>15000</v>
      </c>
      <c r="M223" s="10">
        <f>SALCE[[#This Row],[Gross_Sales]]*SALCE[[#This Row],[Discount_%]]/100</f>
        <v>2250</v>
      </c>
      <c r="N223" s="10">
        <f>SALCE[[#This Row],[After_Discount]]+SALCE[[#This Row],[Tax_Value]]</f>
        <v>12767.85</v>
      </c>
      <c r="O223" s="10">
        <f>SALCE[[#This Row],[Gross_Sales]]*70%</f>
        <v>10500</v>
      </c>
      <c r="P223" s="10">
        <f>SALCE[[#This Row],[Net_Sales]]-SALCE[[#This Row],[Cost_Price]]</f>
        <v>2267.8500000000004</v>
      </c>
      <c r="Q223" s="10">
        <f>SALCE[[#This Row],[Gross_Sales]]-SALCE[[#This Row],[Discount_Value]]</f>
        <v>12750</v>
      </c>
      <c r="R223" s="15" t="s">
        <v>52</v>
      </c>
      <c r="S223" s="15" t="s">
        <v>26</v>
      </c>
      <c r="T223" s="15" t="s">
        <v>27</v>
      </c>
    </row>
    <row r="224" spans="1:20" s="12" customFormat="1" ht="30" customHeight="1" thickTop="1" thickBot="1" x14ac:dyDescent="0.4">
      <c r="A224" s="7">
        <v>1223</v>
      </c>
      <c r="B224" s="8">
        <v>45880</v>
      </c>
      <c r="C224" s="14" t="s">
        <v>39</v>
      </c>
      <c r="D224" s="14" t="s">
        <v>38</v>
      </c>
      <c r="E224" s="14" t="s">
        <v>19</v>
      </c>
      <c r="F224" s="14" t="s">
        <v>20</v>
      </c>
      <c r="G224" s="7">
        <v>3</v>
      </c>
      <c r="H224" s="7">
        <v>300</v>
      </c>
      <c r="I224" s="9">
        <v>0</v>
      </c>
      <c r="J224" s="10">
        <f>SALCE[[#This Row],[After_Discount]]*SALCE[[#This Row],[Tax_%]]/100</f>
        <v>1.2600000000000002</v>
      </c>
      <c r="K224" s="11">
        <v>0.14000000000000001</v>
      </c>
      <c r="L224" s="10">
        <f>SALCE[[#This Row],[Quantity]]*SALCE[[#This Row],[Unit_Price]]</f>
        <v>900</v>
      </c>
      <c r="M224" s="10">
        <f>SALCE[[#This Row],[Gross_Sales]]*SALCE[[#This Row],[Discount_%]]/100</f>
        <v>0</v>
      </c>
      <c r="N224" s="10">
        <f>SALCE[[#This Row],[After_Discount]]+SALCE[[#This Row],[Tax_Value]]</f>
        <v>901.26</v>
      </c>
      <c r="O224" s="10">
        <f>SALCE[[#This Row],[Gross_Sales]]*70%</f>
        <v>630</v>
      </c>
      <c r="P224" s="10">
        <f>SALCE[[#This Row],[Net_Sales]]-SALCE[[#This Row],[Cost_Price]]</f>
        <v>271.26</v>
      </c>
      <c r="Q224" s="10">
        <f>SALCE[[#This Row],[Gross_Sales]]-SALCE[[#This Row],[Discount_Value]]</f>
        <v>900</v>
      </c>
      <c r="R224" s="15" t="s">
        <v>51</v>
      </c>
      <c r="S224" s="15" t="s">
        <v>37</v>
      </c>
      <c r="T224" s="15" t="s">
        <v>27</v>
      </c>
    </row>
    <row r="225" spans="1:20" s="12" customFormat="1" ht="30" customHeight="1" thickTop="1" thickBot="1" x14ac:dyDescent="0.4">
      <c r="A225" s="7">
        <v>1224</v>
      </c>
      <c r="B225" s="8">
        <v>45881</v>
      </c>
      <c r="C225" s="14" t="s">
        <v>39</v>
      </c>
      <c r="D225" s="14" t="s">
        <v>36</v>
      </c>
      <c r="E225" s="14" t="s">
        <v>34</v>
      </c>
      <c r="F225" s="14" t="s">
        <v>32</v>
      </c>
      <c r="G225" s="7">
        <v>3</v>
      </c>
      <c r="H225" s="7">
        <v>4000</v>
      </c>
      <c r="I225" s="9">
        <v>10</v>
      </c>
      <c r="J225" s="10">
        <f>SALCE[[#This Row],[After_Discount]]*SALCE[[#This Row],[Tax_%]]/100</f>
        <v>15.120000000000003</v>
      </c>
      <c r="K225" s="11">
        <v>0.14000000000000001</v>
      </c>
      <c r="L225" s="10">
        <f>SALCE[[#This Row],[Quantity]]*SALCE[[#This Row],[Unit_Price]]</f>
        <v>12000</v>
      </c>
      <c r="M225" s="10">
        <f>SALCE[[#This Row],[Gross_Sales]]*SALCE[[#This Row],[Discount_%]]/100</f>
        <v>1200</v>
      </c>
      <c r="N225" s="10">
        <f>SALCE[[#This Row],[After_Discount]]+SALCE[[#This Row],[Tax_Value]]</f>
        <v>10815.12</v>
      </c>
      <c r="O225" s="10">
        <f>SALCE[[#This Row],[Gross_Sales]]*70%</f>
        <v>8400</v>
      </c>
      <c r="P225" s="10">
        <f>SALCE[[#This Row],[Net_Sales]]-SALCE[[#This Row],[Cost_Price]]</f>
        <v>2415.1200000000008</v>
      </c>
      <c r="Q225" s="10">
        <f>SALCE[[#This Row],[Gross_Sales]]-SALCE[[#This Row],[Discount_Value]]</f>
        <v>10800</v>
      </c>
      <c r="R225" s="15" t="s">
        <v>58</v>
      </c>
      <c r="S225" s="15" t="s">
        <v>26</v>
      </c>
      <c r="T225" s="15" t="s">
        <v>22</v>
      </c>
    </row>
    <row r="226" spans="1:20" s="12" customFormat="1" ht="30" customHeight="1" thickTop="1" thickBot="1" x14ac:dyDescent="0.4">
      <c r="A226" s="7">
        <v>1225</v>
      </c>
      <c r="B226" s="8">
        <v>45882</v>
      </c>
      <c r="C226" s="14" t="s">
        <v>30</v>
      </c>
      <c r="D226" s="14" t="s">
        <v>41</v>
      </c>
      <c r="E226" s="14" t="s">
        <v>33</v>
      </c>
      <c r="F226" s="14" t="s">
        <v>32</v>
      </c>
      <c r="G226" s="7">
        <v>3</v>
      </c>
      <c r="H226" s="7">
        <v>6000</v>
      </c>
      <c r="I226" s="9">
        <v>10</v>
      </c>
      <c r="J226" s="10">
        <f>SALCE[[#This Row],[After_Discount]]*SALCE[[#This Row],[Tax_%]]/100</f>
        <v>22.68</v>
      </c>
      <c r="K226" s="11">
        <v>0.14000000000000001</v>
      </c>
      <c r="L226" s="10">
        <f>SALCE[[#This Row],[Quantity]]*SALCE[[#This Row],[Unit_Price]]</f>
        <v>18000</v>
      </c>
      <c r="M226" s="10">
        <f>SALCE[[#This Row],[Gross_Sales]]*SALCE[[#This Row],[Discount_%]]/100</f>
        <v>1800</v>
      </c>
      <c r="N226" s="10">
        <f>SALCE[[#This Row],[After_Discount]]+SALCE[[#This Row],[Tax_Value]]</f>
        <v>16222.68</v>
      </c>
      <c r="O226" s="10">
        <f>SALCE[[#This Row],[Gross_Sales]]*70%</f>
        <v>12600</v>
      </c>
      <c r="P226" s="10">
        <f>SALCE[[#This Row],[Net_Sales]]-SALCE[[#This Row],[Cost_Price]]</f>
        <v>3622.6800000000003</v>
      </c>
      <c r="Q226" s="10">
        <f>SALCE[[#This Row],[Gross_Sales]]-SALCE[[#This Row],[Discount_Value]]</f>
        <v>16200</v>
      </c>
      <c r="R226" s="15" t="s">
        <v>62</v>
      </c>
      <c r="S226" s="15" t="s">
        <v>21</v>
      </c>
      <c r="T226" s="15" t="s">
        <v>27</v>
      </c>
    </row>
    <row r="227" spans="1:20" s="12" customFormat="1" ht="30" customHeight="1" thickTop="1" thickBot="1" x14ac:dyDescent="0.4">
      <c r="A227" s="7">
        <v>1226</v>
      </c>
      <c r="B227" s="8">
        <v>45883</v>
      </c>
      <c r="C227" s="14" t="s">
        <v>17</v>
      </c>
      <c r="D227" s="14" t="s">
        <v>24</v>
      </c>
      <c r="E227" s="14" t="s">
        <v>31</v>
      </c>
      <c r="F227" s="14" t="s">
        <v>32</v>
      </c>
      <c r="G227" s="7">
        <v>5</v>
      </c>
      <c r="H227" s="7">
        <v>15000</v>
      </c>
      <c r="I227" s="9">
        <v>0</v>
      </c>
      <c r="J227" s="10">
        <f>SALCE[[#This Row],[After_Discount]]*SALCE[[#This Row],[Tax_%]]/100</f>
        <v>105.00000000000001</v>
      </c>
      <c r="K227" s="11">
        <v>0.14000000000000001</v>
      </c>
      <c r="L227" s="10">
        <f>SALCE[[#This Row],[Quantity]]*SALCE[[#This Row],[Unit_Price]]</f>
        <v>75000</v>
      </c>
      <c r="M227" s="10">
        <f>SALCE[[#This Row],[Gross_Sales]]*SALCE[[#This Row],[Discount_%]]/100</f>
        <v>0</v>
      </c>
      <c r="N227" s="10">
        <f>SALCE[[#This Row],[After_Discount]]+SALCE[[#This Row],[Tax_Value]]</f>
        <v>75105</v>
      </c>
      <c r="O227" s="10">
        <f>SALCE[[#This Row],[Gross_Sales]]*70%</f>
        <v>52500</v>
      </c>
      <c r="P227" s="10">
        <f>SALCE[[#This Row],[Net_Sales]]-SALCE[[#This Row],[Cost_Price]]</f>
        <v>22605</v>
      </c>
      <c r="Q227" s="10">
        <f>SALCE[[#This Row],[Gross_Sales]]-SALCE[[#This Row],[Discount_Value]]</f>
        <v>75000</v>
      </c>
      <c r="R227" s="15" t="s">
        <v>60</v>
      </c>
      <c r="S227" s="15" t="s">
        <v>21</v>
      </c>
      <c r="T227" s="15" t="s">
        <v>27</v>
      </c>
    </row>
    <row r="228" spans="1:20" s="12" customFormat="1" ht="30" customHeight="1" thickTop="1" thickBot="1" x14ac:dyDescent="0.4">
      <c r="A228" s="7">
        <v>1227</v>
      </c>
      <c r="B228" s="8">
        <v>45884</v>
      </c>
      <c r="C228" s="14" t="s">
        <v>28</v>
      </c>
      <c r="D228" s="14" t="s">
        <v>36</v>
      </c>
      <c r="E228" s="14" t="s">
        <v>25</v>
      </c>
      <c r="F228" s="14" t="s">
        <v>20</v>
      </c>
      <c r="G228" s="7">
        <v>8</v>
      </c>
      <c r="H228" s="7">
        <v>500</v>
      </c>
      <c r="I228" s="9">
        <v>15</v>
      </c>
      <c r="J228" s="10">
        <f>SALCE[[#This Row],[After_Discount]]*SALCE[[#This Row],[Tax_%]]/100</f>
        <v>4.7600000000000007</v>
      </c>
      <c r="K228" s="11">
        <v>0.14000000000000001</v>
      </c>
      <c r="L228" s="10">
        <f>SALCE[[#This Row],[Quantity]]*SALCE[[#This Row],[Unit_Price]]</f>
        <v>4000</v>
      </c>
      <c r="M228" s="10">
        <f>SALCE[[#This Row],[Gross_Sales]]*SALCE[[#This Row],[Discount_%]]/100</f>
        <v>600</v>
      </c>
      <c r="N228" s="10">
        <f>SALCE[[#This Row],[After_Discount]]+SALCE[[#This Row],[Tax_Value]]</f>
        <v>3404.76</v>
      </c>
      <c r="O228" s="10">
        <f>SALCE[[#This Row],[Gross_Sales]]*70%</f>
        <v>2800</v>
      </c>
      <c r="P228" s="10">
        <f>SALCE[[#This Row],[Net_Sales]]-SALCE[[#This Row],[Cost_Price]]</f>
        <v>604.76000000000022</v>
      </c>
      <c r="Q228" s="10">
        <f>SALCE[[#This Row],[Gross_Sales]]-SALCE[[#This Row],[Discount_Value]]</f>
        <v>3400</v>
      </c>
      <c r="R228" s="15" t="s">
        <v>59</v>
      </c>
      <c r="S228" s="15" t="s">
        <v>26</v>
      </c>
      <c r="T228" s="15" t="s">
        <v>22</v>
      </c>
    </row>
    <row r="229" spans="1:20" s="12" customFormat="1" ht="30" customHeight="1" thickTop="1" thickBot="1" x14ac:dyDescent="0.4">
      <c r="A229" s="7">
        <v>1228</v>
      </c>
      <c r="B229" s="8">
        <v>45885</v>
      </c>
      <c r="C229" s="14" t="s">
        <v>28</v>
      </c>
      <c r="D229" s="14" t="s">
        <v>18</v>
      </c>
      <c r="E229" s="14" t="s">
        <v>34</v>
      </c>
      <c r="F229" s="14" t="s">
        <v>32</v>
      </c>
      <c r="G229" s="7">
        <v>9</v>
      </c>
      <c r="H229" s="7">
        <v>4000</v>
      </c>
      <c r="I229" s="9">
        <v>15</v>
      </c>
      <c r="J229" s="10">
        <f>SALCE[[#This Row],[After_Discount]]*SALCE[[#This Row],[Tax_%]]/100</f>
        <v>42.84</v>
      </c>
      <c r="K229" s="11">
        <v>0.14000000000000001</v>
      </c>
      <c r="L229" s="10">
        <f>SALCE[[#This Row],[Quantity]]*SALCE[[#This Row],[Unit_Price]]</f>
        <v>36000</v>
      </c>
      <c r="M229" s="10">
        <f>SALCE[[#This Row],[Gross_Sales]]*SALCE[[#This Row],[Discount_%]]/100</f>
        <v>5400</v>
      </c>
      <c r="N229" s="10">
        <f>SALCE[[#This Row],[After_Discount]]+SALCE[[#This Row],[Tax_Value]]</f>
        <v>30642.84</v>
      </c>
      <c r="O229" s="10">
        <f>SALCE[[#This Row],[Gross_Sales]]*70%</f>
        <v>25200</v>
      </c>
      <c r="P229" s="10">
        <f>SALCE[[#This Row],[Net_Sales]]-SALCE[[#This Row],[Cost_Price]]</f>
        <v>5442.84</v>
      </c>
      <c r="Q229" s="10">
        <f>SALCE[[#This Row],[Gross_Sales]]-SALCE[[#This Row],[Discount_Value]]</f>
        <v>30600</v>
      </c>
      <c r="R229" s="15" t="s">
        <v>52</v>
      </c>
      <c r="S229" s="15" t="s">
        <v>37</v>
      </c>
      <c r="T229" s="15" t="s">
        <v>22</v>
      </c>
    </row>
    <row r="230" spans="1:20" s="12" customFormat="1" ht="30" customHeight="1" thickTop="1" thickBot="1" x14ac:dyDescent="0.4">
      <c r="A230" s="7">
        <v>1229</v>
      </c>
      <c r="B230" s="8">
        <v>45886</v>
      </c>
      <c r="C230" s="14" t="s">
        <v>35</v>
      </c>
      <c r="D230" s="14" t="s">
        <v>24</v>
      </c>
      <c r="E230" s="14" t="s">
        <v>31</v>
      </c>
      <c r="F230" s="14" t="s">
        <v>32</v>
      </c>
      <c r="G230" s="7">
        <v>9</v>
      </c>
      <c r="H230" s="7">
        <v>15000</v>
      </c>
      <c r="I230" s="9">
        <v>10</v>
      </c>
      <c r="J230" s="10">
        <f>SALCE[[#This Row],[After_Discount]]*SALCE[[#This Row],[Tax_%]]/100</f>
        <v>170.1</v>
      </c>
      <c r="K230" s="11">
        <v>0.14000000000000001</v>
      </c>
      <c r="L230" s="10">
        <f>SALCE[[#This Row],[Quantity]]*SALCE[[#This Row],[Unit_Price]]</f>
        <v>135000</v>
      </c>
      <c r="M230" s="10">
        <f>SALCE[[#This Row],[Gross_Sales]]*SALCE[[#This Row],[Discount_%]]/100</f>
        <v>13500</v>
      </c>
      <c r="N230" s="10">
        <f>SALCE[[#This Row],[After_Discount]]+SALCE[[#This Row],[Tax_Value]]</f>
        <v>121670.1</v>
      </c>
      <c r="O230" s="10">
        <f>SALCE[[#This Row],[Gross_Sales]]*70%</f>
        <v>94500</v>
      </c>
      <c r="P230" s="10">
        <f>SALCE[[#This Row],[Net_Sales]]-SALCE[[#This Row],[Cost_Price]]</f>
        <v>27170.100000000006</v>
      </c>
      <c r="Q230" s="10">
        <f>SALCE[[#This Row],[Gross_Sales]]-SALCE[[#This Row],[Discount_Value]]</f>
        <v>121500</v>
      </c>
      <c r="R230" s="15" t="s">
        <v>62</v>
      </c>
      <c r="S230" s="15" t="s">
        <v>21</v>
      </c>
      <c r="T230" s="15" t="s">
        <v>22</v>
      </c>
    </row>
    <row r="231" spans="1:20" s="12" customFormat="1" ht="30" customHeight="1" thickTop="1" thickBot="1" x14ac:dyDescent="0.4">
      <c r="A231" s="7">
        <v>1230</v>
      </c>
      <c r="B231" s="8">
        <v>45887</v>
      </c>
      <c r="C231" s="14" t="s">
        <v>17</v>
      </c>
      <c r="D231" s="14" t="s">
        <v>18</v>
      </c>
      <c r="E231" s="14" t="s">
        <v>31</v>
      </c>
      <c r="F231" s="14" t="s">
        <v>32</v>
      </c>
      <c r="G231" s="7">
        <v>4</v>
      </c>
      <c r="H231" s="7">
        <v>15000</v>
      </c>
      <c r="I231" s="9">
        <v>5</v>
      </c>
      <c r="J231" s="10">
        <f>SALCE[[#This Row],[After_Discount]]*SALCE[[#This Row],[Tax_%]]/100</f>
        <v>79.800000000000011</v>
      </c>
      <c r="K231" s="11">
        <v>0.14000000000000001</v>
      </c>
      <c r="L231" s="10">
        <f>SALCE[[#This Row],[Quantity]]*SALCE[[#This Row],[Unit_Price]]</f>
        <v>60000</v>
      </c>
      <c r="M231" s="10">
        <f>SALCE[[#This Row],[Gross_Sales]]*SALCE[[#This Row],[Discount_%]]/100</f>
        <v>3000</v>
      </c>
      <c r="N231" s="10">
        <f>SALCE[[#This Row],[After_Discount]]+SALCE[[#This Row],[Tax_Value]]</f>
        <v>57079.8</v>
      </c>
      <c r="O231" s="10">
        <f>SALCE[[#This Row],[Gross_Sales]]*70%</f>
        <v>42000</v>
      </c>
      <c r="P231" s="10">
        <f>SALCE[[#This Row],[Net_Sales]]-SALCE[[#This Row],[Cost_Price]]</f>
        <v>15079.800000000003</v>
      </c>
      <c r="Q231" s="10">
        <f>SALCE[[#This Row],[Gross_Sales]]-SALCE[[#This Row],[Discount_Value]]</f>
        <v>57000</v>
      </c>
      <c r="R231" s="15" t="s">
        <v>49</v>
      </c>
      <c r="S231" s="15" t="s">
        <v>26</v>
      </c>
      <c r="T231" s="15" t="s">
        <v>22</v>
      </c>
    </row>
    <row r="232" spans="1:20" s="12" customFormat="1" ht="30" customHeight="1" thickTop="1" thickBot="1" x14ac:dyDescent="0.4">
      <c r="A232" s="7">
        <v>1231</v>
      </c>
      <c r="B232" s="8">
        <v>45888</v>
      </c>
      <c r="C232" s="14" t="s">
        <v>35</v>
      </c>
      <c r="D232" s="14" t="s">
        <v>24</v>
      </c>
      <c r="E232" s="14" t="s">
        <v>34</v>
      </c>
      <c r="F232" s="14" t="s">
        <v>32</v>
      </c>
      <c r="G232" s="7">
        <v>3</v>
      </c>
      <c r="H232" s="7">
        <v>4000</v>
      </c>
      <c r="I232" s="9">
        <v>5</v>
      </c>
      <c r="J232" s="10">
        <f>SALCE[[#This Row],[After_Discount]]*SALCE[[#This Row],[Tax_%]]/100</f>
        <v>15.960000000000003</v>
      </c>
      <c r="K232" s="11">
        <v>0.14000000000000001</v>
      </c>
      <c r="L232" s="10">
        <f>SALCE[[#This Row],[Quantity]]*SALCE[[#This Row],[Unit_Price]]</f>
        <v>12000</v>
      </c>
      <c r="M232" s="10">
        <f>SALCE[[#This Row],[Gross_Sales]]*SALCE[[#This Row],[Discount_%]]/100</f>
        <v>600</v>
      </c>
      <c r="N232" s="10">
        <f>SALCE[[#This Row],[After_Discount]]+SALCE[[#This Row],[Tax_Value]]</f>
        <v>11415.96</v>
      </c>
      <c r="O232" s="10">
        <f>SALCE[[#This Row],[Gross_Sales]]*70%</f>
        <v>8400</v>
      </c>
      <c r="P232" s="10">
        <f>SALCE[[#This Row],[Net_Sales]]-SALCE[[#This Row],[Cost_Price]]</f>
        <v>3015.9599999999991</v>
      </c>
      <c r="Q232" s="10">
        <f>SALCE[[#This Row],[Gross_Sales]]-SALCE[[#This Row],[Discount_Value]]</f>
        <v>11400</v>
      </c>
      <c r="R232" s="15" t="s">
        <v>51</v>
      </c>
      <c r="S232" s="15" t="s">
        <v>26</v>
      </c>
      <c r="T232" s="15" t="s">
        <v>22</v>
      </c>
    </row>
    <row r="233" spans="1:20" s="12" customFormat="1" ht="30" customHeight="1" thickTop="1" thickBot="1" x14ac:dyDescent="0.4">
      <c r="A233" s="7">
        <v>1232</v>
      </c>
      <c r="B233" s="8">
        <v>45889</v>
      </c>
      <c r="C233" s="14" t="s">
        <v>28</v>
      </c>
      <c r="D233" s="14" t="s">
        <v>36</v>
      </c>
      <c r="E233" s="14" t="s">
        <v>31</v>
      </c>
      <c r="F233" s="14" t="s">
        <v>32</v>
      </c>
      <c r="G233" s="7">
        <v>9</v>
      </c>
      <c r="H233" s="7">
        <v>15000</v>
      </c>
      <c r="I233" s="9">
        <v>0</v>
      </c>
      <c r="J233" s="10">
        <f>SALCE[[#This Row],[After_Discount]]*SALCE[[#This Row],[Tax_%]]/100</f>
        <v>189</v>
      </c>
      <c r="K233" s="11">
        <v>0.14000000000000001</v>
      </c>
      <c r="L233" s="10">
        <f>SALCE[[#This Row],[Quantity]]*SALCE[[#This Row],[Unit_Price]]</f>
        <v>135000</v>
      </c>
      <c r="M233" s="10">
        <f>SALCE[[#This Row],[Gross_Sales]]*SALCE[[#This Row],[Discount_%]]/100</f>
        <v>0</v>
      </c>
      <c r="N233" s="10">
        <f>SALCE[[#This Row],[After_Discount]]+SALCE[[#This Row],[Tax_Value]]</f>
        <v>135189</v>
      </c>
      <c r="O233" s="10">
        <f>SALCE[[#This Row],[Gross_Sales]]*70%</f>
        <v>94500</v>
      </c>
      <c r="P233" s="10">
        <f>SALCE[[#This Row],[Net_Sales]]-SALCE[[#This Row],[Cost_Price]]</f>
        <v>40689</v>
      </c>
      <c r="Q233" s="10">
        <f>SALCE[[#This Row],[Gross_Sales]]-SALCE[[#This Row],[Discount_Value]]</f>
        <v>135000</v>
      </c>
      <c r="R233" s="15" t="s">
        <v>62</v>
      </c>
      <c r="S233" s="15" t="s">
        <v>37</v>
      </c>
      <c r="T233" s="15" t="s">
        <v>27</v>
      </c>
    </row>
    <row r="234" spans="1:20" s="12" customFormat="1" ht="30" customHeight="1" thickTop="1" thickBot="1" x14ac:dyDescent="0.4">
      <c r="A234" s="7">
        <v>1233</v>
      </c>
      <c r="B234" s="8">
        <v>45890</v>
      </c>
      <c r="C234" s="14" t="s">
        <v>35</v>
      </c>
      <c r="D234" s="14" t="s">
        <v>38</v>
      </c>
      <c r="E234" s="14" t="s">
        <v>33</v>
      </c>
      <c r="F234" s="14" t="s">
        <v>32</v>
      </c>
      <c r="G234" s="7">
        <v>10</v>
      </c>
      <c r="H234" s="7">
        <v>6000</v>
      </c>
      <c r="I234" s="9">
        <v>5</v>
      </c>
      <c r="J234" s="10">
        <f>SALCE[[#This Row],[After_Discount]]*SALCE[[#This Row],[Tax_%]]/100</f>
        <v>79.800000000000011</v>
      </c>
      <c r="K234" s="11">
        <v>0.14000000000000001</v>
      </c>
      <c r="L234" s="10">
        <f>SALCE[[#This Row],[Quantity]]*SALCE[[#This Row],[Unit_Price]]</f>
        <v>60000</v>
      </c>
      <c r="M234" s="10">
        <f>SALCE[[#This Row],[Gross_Sales]]*SALCE[[#This Row],[Discount_%]]/100</f>
        <v>3000</v>
      </c>
      <c r="N234" s="10">
        <f>SALCE[[#This Row],[After_Discount]]+SALCE[[#This Row],[Tax_Value]]</f>
        <v>57079.8</v>
      </c>
      <c r="O234" s="10">
        <f>SALCE[[#This Row],[Gross_Sales]]*70%</f>
        <v>42000</v>
      </c>
      <c r="P234" s="10">
        <f>SALCE[[#This Row],[Net_Sales]]-SALCE[[#This Row],[Cost_Price]]</f>
        <v>15079.800000000003</v>
      </c>
      <c r="Q234" s="10">
        <f>SALCE[[#This Row],[Gross_Sales]]-SALCE[[#This Row],[Discount_Value]]</f>
        <v>57000</v>
      </c>
      <c r="R234" s="15" t="s">
        <v>52</v>
      </c>
      <c r="S234" s="15" t="s">
        <v>21</v>
      </c>
      <c r="T234" s="15" t="s">
        <v>22</v>
      </c>
    </row>
    <row r="235" spans="1:20" s="12" customFormat="1" ht="30" customHeight="1" thickTop="1" thickBot="1" x14ac:dyDescent="0.4">
      <c r="A235" s="7">
        <v>1234</v>
      </c>
      <c r="B235" s="8">
        <v>45891</v>
      </c>
      <c r="C235" s="14" t="s">
        <v>30</v>
      </c>
      <c r="D235" s="14" t="s">
        <v>36</v>
      </c>
      <c r="E235" s="14" t="s">
        <v>25</v>
      </c>
      <c r="F235" s="14" t="s">
        <v>20</v>
      </c>
      <c r="G235" s="7">
        <v>1</v>
      </c>
      <c r="H235" s="7">
        <v>500</v>
      </c>
      <c r="I235" s="9">
        <v>5</v>
      </c>
      <c r="J235" s="10">
        <f>SALCE[[#This Row],[After_Discount]]*SALCE[[#This Row],[Tax_%]]/100</f>
        <v>0.66500000000000004</v>
      </c>
      <c r="K235" s="11">
        <v>0.14000000000000001</v>
      </c>
      <c r="L235" s="10">
        <f>SALCE[[#This Row],[Quantity]]*SALCE[[#This Row],[Unit_Price]]</f>
        <v>500</v>
      </c>
      <c r="M235" s="10">
        <f>SALCE[[#This Row],[Gross_Sales]]*SALCE[[#This Row],[Discount_%]]/100</f>
        <v>25</v>
      </c>
      <c r="N235" s="10">
        <f>SALCE[[#This Row],[After_Discount]]+SALCE[[#This Row],[Tax_Value]]</f>
        <v>475.66500000000002</v>
      </c>
      <c r="O235" s="10">
        <f>SALCE[[#This Row],[Gross_Sales]]*70%</f>
        <v>350</v>
      </c>
      <c r="P235" s="10">
        <f>SALCE[[#This Row],[Net_Sales]]-SALCE[[#This Row],[Cost_Price]]</f>
        <v>125.66500000000002</v>
      </c>
      <c r="Q235" s="10">
        <f>SALCE[[#This Row],[Gross_Sales]]-SALCE[[#This Row],[Discount_Value]]</f>
        <v>475</v>
      </c>
      <c r="R235" s="15" t="s">
        <v>49</v>
      </c>
      <c r="S235" s="15" t="s">
        <v>37</v>
      </c>
      <c r="T235" s="15" t="s">
        <v>22</v>
      </c>
    </row>
    <row r="236" spans="1:20" s="12" customFormat="1" ht="30" customHeight="1" thickTop="1" thickBot="1" x14ac:dyDescent="0.4">
      <c r="A236" s="7">
        <v>1235</v>
      </c>
      <c r="B236" s="8">
        <v>45892</v>
      </c>
      <c r="C236" s="14" t="s">
        <v>30</v>
      </c>
      <c r="D236" s="14" t="s">
        <v>38</v>
      </c>
      <c r="E236" s="14" t="s">
        <v>34</v>
      </c>
      <c r="F236" s="14" t="s">
        <v>32</v>
      </c>
      <c r="G236" s="7">
        <v>2</v>
      </c>
      <c r="H236" s="7">
        <v>4000</v>
      </c>
      <c r="I236" s="9">
        <v>10</v>
      </c>
      <c r="J236" s="10">
        <f>SALCE[[#This Row],[After_Discount]]*SALCE[[#This Row],[Tax_%]]/100</f>
        <v>10.080000000000002</v>
      </c>
      <c r="K236" s="11">
        <v>0.14000000000000001</v>
      </c>
      <c r="L236" s="10">
        <f>SALCE[[#This Row],[Quantity]]*SALCE[[#This Row],[Unit_Price]]</f>
        <v>8000</v>
      </c>
      <c r="M236" s="10">
        <f>SALCE[[#This Row],[Gross_Sales]]*SALCE[[#This Row],[Discount_%]]/100</f>
        <v>800</v>
      </c>
      <c r="N236" s="10">
        <f>SALCE[[#This Row],[After_Discount]]+SALCE[[#This Row],[Tax_Value]]</f>
        <v>7210.08</v>
      </c>
      <c r="O236" s="10">
        <f>SALCE[[#This Row],[Gross_Sales]]*70%</f>
        <v>5600</v>
      </c>
      <c r="P236" s="10">
        <f>SALCE[[#This Row],[Net_Sales]]-SALCE[[#This Row],[Cost_Price]]</f>
        <v>1610.08</v>
      </c>
      <c r="Q236" s="10">
        <f>SALCE[[#This Row],[Gross_Sales]]-SALCE[[#This Row],[Discount_Value]]</f>
        <v>7200</v>
      </c>
      <c r="R236" s="15" t="s">
        <v>59</v>
      </c>
      <c r="S236" s="15" t="s">
        <v>37</v>
      </c>
      <c r="T236" s="15" t="s">
        <v>22</v>
      </c>
    </row>
    <row r="237" spans="1:20" s="12" customFormat="1" ht="30" customHeight="1" thickTop="1" thickBot="1" x14ac:dyDescent="0.4">
      <c r="A237" s="7">
        <v>1236</v>
      </c>
      <c r="B237" s="8">
        <v>45893</v>
      </c>
      <c r="C237" s="14" t="s">
        <v>28</v>
      </c>
      <c r="D237" s="14" t="s">
        <v>29</v>
      </c>
      <c r="E237" s="14" t="s">
        <v>34</v>
      </c>
      <c r="F237" s="14" t="s">
        <v>32</v>
      </c>
      <c r="G237" s="7">
        <v>2</v>
      </c>
      <c r="H237" s="7">
        <v>4000</v>
      </c>
      <c r="I237" s="9">
        <v>10</v>
      </c>
      <c r="J237" s="10">
        <f>SALCE[[#This Row],[After_Discount]]*SALCE[[#This Row],[Tax_%]]/100</f>
        <v>10.080000000000002</v>
      </c>
      <c r="K237" s="11">
        <v>0.14000000000000001</v>
      </c>
      <c r="L237" s="10">
        <f>SALCE[[#This Row],[Quantity]]*SALCE[[#This Row],[Unit_Price]]</f>
        <v>8000</v>
      </c>
      <c r="M237" s="10">
        <f>SALCE[[#This Row],[Gross_Sales]]*SALCE[[#This Row],[Discount_%]]/100</f>
        <v>800</v>
      </c>
      <c r="N237" s="10">
        <f>SALCE[[#This Row],[After_Discount]]+SALCE[[#This Row],[Tax_Value]]</f>
        <v>7210.08</v>
      </c>
      <c r="O237" s="10">
        <f>SALCE[[#This Row],[Gross_Sales]]*70%</f>
        <v>5600</v>
      </c>
      <c r="P237" s="10">
        <f>SALCE[[#This Row],[Net_Sales]]-SALCE[[#This Row],[Cost_Price]]</f>
        <v>1610.08</v>
      </c>
      <c r="Q237" s="10">
        <f>SALCE[[#This Row],[Gross_Sales]]-SALCE[[#This Row],[Discount_Value]]</f>
        <v>7200</v>
      </c>
      <c r="R237" s="15" t="s">
        <v>57</v>
      </c>
      <c r="S237" s="15" t="s">
        <v>37</v>
      </c>
      <c r="T237" s="15" t="s">
        <v>27</v>
      </c>
    </row>
    <row r="238" spans="1:20" s="12" customFormat="1" ht="30" customHeight="1" thickTop="1" thickBot="1" x14ac:dyDescent="0.4">
      <c r="A238" s="7">
        <v>1237</v>
      </c>
      <c r="B238" s="8">
        <v>45894</v>
      </c>
      <c r="C238" s="14" t="s">
        <v>30</v>
      </c>
      <c r="D238" s="14" t="s">
        <v>41</v>
      </c>
      <c r="E238" s="14" t="s">
        <v>31</v>
      </c>
      <c r="F238" s="14" t="s">
        <v>32</v>
      </c>
      <c r="G238" s="7">
        <v>2</v>
      </c>
      <c r="H238" s="7">
        <v>15000</v>
      </c>
      <c r="I238" s="9">
        <v>0</v>
      </c>
      <c r="J238" s="10">
        <f>SALCE[[#This Row],[After_Discount]]*SALCE[[#This Row],[Tax_%]]/100</f>
        <v>42</v>
      </c>
      <c r="K238" s="11">
        <v>0.14000000000000001</v>
      </c>
      <c r="L238" s="10">
        <f>SALCE[[#This Row],[Quantity]]*SALCE[[#This Row],[Unit_Price]]</f>
        <v>30000</v>
      </c>
      <c r="M238" s="10">
        <f>SALCE[[#This Row],[Gross_Sales]]*SALCE[[#This Row],[Discount_%]]/100</f>
        <v>0</v>
      </c>
      <c r="N238" s="10">
        <f>SALCE[[#This Row],[After_Discount]]+SALCE[[#This Row],[Tax_Value]]</f>
        <v>30042</v>
      </c>
      <c r="O238" s="10">
        <f>SALCE[[#This Row],[Gross_Sales]]*70%</f>
        <v>21000</v>
      </c>
      <c r="P238" s="10">
        <f>SALCE[[#This Row],[Net_Sales]]-SALCE[[#This Row],[Cost_Price]]</f>
        <v>9042</v>
      </c>
      <c r="Q238" s="10">
        <f>SALCE[[#This Row],[Gross_Sales]]-SALCE[[#This Row],[Discount_Value]]</f>
        <v>30000</v>
      </c>
      <c r="R238" s="15" t="s">
        <v>60</v>
      </c>
      <c r="S238" s="15" t="s">
        <v>37</v>
      </c>
      <c r="T238" s="15" t="s">
        <v>27</v>
      </c>
    </row>
    <row r="239" spans="1:20" s="12" customFormat="1" ht="30" customHeight="1" thickTop="1" thickBot="1" x14ac:dyDescent="0.4">
      <c r="A239" s="7">
        <v>1238</v>
      </c>
      <c r="B239" s="8">
        <v>45895</v>
      </c>
      <c r="C239" s="14" t="s">
        <v>28</v>
      </c>
      <c r="D239" s="14" t="s">
        <v>41</v>
      </c>
      <c r="E239" s="14" t="s">
        <v>34</v>
      </c>
      <c r="F239" s="14" t="s">
        <v>32</v>
      </c>
      <c r="G239" s="7">
        <v>10</v>
      </c>
      <c r="H239" s="7">
        <v>4000</v>
      </c>
      <c r="I239" s="9">
        <v>0</v>
      </c>
      <c r="J239" s="10">
        <f>SALCE[[#This Row],[After_Discount]]*SALCE[[#This Row],[Tax_%]]/100</f>
        <v>56.000000000000007</v>
      </c>
      <c r="K239" s="11">
        <v>0.14000000000000001</v>
      </c>
      <c r="L239" s="10">
        <f>SALCE[[#This Row],[Quantity]]*SALCE[[#This Row],[Unit_Price]]</f>
        <v>40000</v>
      </c>
      <c r="M239" s="10">
        <f>SALCE[[#This Row],[Gross_Sales]]*SALCE[[#This Row],[Discount_%]]/100</f>
        <v>0</v>
      </c>
      <c r="N239" s="10">
        <f>SALCE[[#This Row],[After_Discount]]+SALCE[[#This Row],[Tax_Value]]</f>
        <v>40056</v>
      </c>
      <c r="O239" s="10">
        <f>SALCE[[#This Row],[Gross_Sales]]*70%</f>
        <v>28000</v>
      </c>
      <c r="P239" s="10">
        <f>SALCE[[#This Row],[Net_Sales]]-SALCE[[#This Row],[Cost_Price]]</f>
        <v>12056</v>
      </c>
      <c r="Q239" s="10">
        <f>SALCE[[#This Row],[Gross_Sales]]-SALCE[[#This Row],[Discount_Value]]</f>
        <v>40000</v>
      </c>
      <c r="R239" s="15" t="s">
        <v>53</v>
      </c>
      <c r="S239" s="15" t="s">
        <v>37</v>
      </c>
      <c r="T239" s="15" t="s">
        <v>22</v>
      </c>
    </row>
    <row r="240" spans="1:20" s="12" customFormat="1" ht="30" customHeight="1" thickTop="1" thickBot="1" x14ac:dyDescent="0.4">
      <c r="A240" s="7">
        <v>1239</v>
      </c>
      <c r="B240" s="8">
        <v>45896</v>
      </c>
      <c r="C240" s="14" t="s">
        <v>39</v>
      </c>
      <c r="D240" s="14" t="s">
        <v>38</v>
      </c>
      <c r="E240" s="14" t="s">
        <v>40</v>
      </c>
      <c r="F240" s="14" t="s">
        <v>20</v>
      </c>
      <c r="G240" s="7">
        <v>1</v>
      </c>
      <c r="H240" s="7">
        <v>800</v>
      </c>
      <c r="I240" s="9">
        <v>15</v>
      </c>
      <c r="J240" s="10">
        <f>SALCE[[#This Row],[After_Discount]]*SALCE[[#This Row],[Tax_%]]/100</f>
        <v>0.95200000000000007</v>
      </c>
      <c r="K240" s="11">
        <v>0.14000000000000001</v>
      </c>
      <c r="L240" s="10">
        <f>SALCE[[#This Row],[Quantity]]*SALCE[[#This Row],[Unit_Price]]</f>
        <v>800</v>
      </c>
      <c r="M240" s="10">
        <f>SALCE[[#This Row],[Gross_Sales]]*SALCE[[#This Row],[Discount_%]]/100</f>
        <v>120</v>
      </c>
      <c r="N240" s="10">
        <f>SALCE[[#This Row],[After_Discount]]+SALCE[[#This Row],[Tax_Value]]</f>
        <v>680.952</v>
      </c>
      <c r="O240" s="10">
        <f>SALCE[[#This Row],[Gross_Sales]]*70%</f>
        <v>560</v>
      </c>
      <c r="P240" s="10">
        <f>SALCE[[#This Row],[Net_Sales]]-SALCE[[#This Row],[Cost_Price]]</f>
        <v>120.952</v>
      </c>
      <c r="Q240" s="10">
        <f>SALCE[[#This Row],[Gross_Sales]]-SALCE[[#This Row],[Discount_Value]]</f>
        <v>680</v>
      </c>
      <c r="R240" s="15" t="s">
        <v>61</v>
      </c>
      <c r="S240" s="15" t="s">
        <v>26</v>
      </c>
      <c r="T240" s="15" t="s">
        <v>22</v>
      </c>
    </row>
    <row r="241" spans="1:20" s="12" customFormat="1" ht="30" customHeight="1" thickTop="1" thickBot="1" x14ac:dyDescent="0.4">
      <c r="A241" s="7">
        <v>1240</v>
      </c>
      <c r="B241" s="8">
        <v>45897</v>
      </c>
      <c r="C241" s="14" t="s">
        <v>39</v>
      </c>
      <c r="D241" s="14" t="s">
        <v>36</v>
      </c>
      <c r="E241" s="14" t="s">
        <v>40</v>
      </c>
      <c r="F241" s="14" t="s">
        <v>20</v>
      </c>
      <c r="G241" s="7">
        <v>10</v>
      </c>
      <c r="H241" s="7">
        <v>800</v>
      </c>
      <c r="I241" s="9">
        <v>15</v>
      </c>
      <c r="J241" s="10">
        <f>SALCE[[#This Row],[After_Discount]]*SALCE[[#This Row],[Tax_%]]/100</f>
        <v>9.5200000000000014</v>
      </c>
      <c r="K241" s="11">
        <v>0.14000000000000001</v>
      </c>
      <c r="L241" s="10">
        <f>SALCE[[#This Row],[Quantity]]*SALCE[[#This Row],[Unit_Price]]</f>
        <v>8000</v>
      </c>
      <c r="M241" s="10">
        <f>SALCE[[#This Row],[Gross_Sales]]*SALCE[[#This Row],[Discount_%]]/100</f>
        <v>1200</v>
      </c>
      <c r="N241" s="10">
        <f>SALCE[[#This Row],[After_Discount]]+SALCE[[#This Row],[Tax_Value]]</f>
        <v>6809.52</v>
      </c>
      <c r="O241" s="10">
        <f>SALCE[[#This Row],[Gross_Sales]]*70%</f>
        <v>5600</v>
      </c>
      <c r="P241" s="10">
        <f>SALCE[[#This Row],[Net_Sales]]-SALCE[[#This Row],[Cost_Price]]</f>
        <v>1209.5200000000004</v>
      </c>
      <c r="Q241" s="10">
        <f>SALCE[[#This Row],[Gross_Sales]]-SALCE[[#This Row],[Discount_Value]]</f>
        <v>6800</v>
      </c>
      <c r="R241" s="15" t="s">
        <v>62</v>
      </c>
      <c r="S241" s="15" t="s">
        <v>26</v>
      </c>
      <c r="T241" s="15" t="s">
        <v>22</v>
      </c>
    </row>
    <row r="242" spans="1:20" s="12" customFormat="1" ht="30" customHeight="1" thickTop="1" thickBot="1" x14ac:dyDescent="0.4">
      <c r="A242" s="7">
        <v>1241</v>
      </c>
      <c r="B242" s="8">
        <v>45898</v>
      </c>
      <c r="C242" s="14" t="s">
        <v>23</v>
      </c>
      <c r="D242" s="14" t="s">
        <v>29</v>
      </c>
      <c r="E242" s="14" t="s">
        <v>34</v>
      </c>
      <c r="F242" s="14" t="s">
        <v>32</v>
      </c>
      <c r="G242" s="7">
        <v>9</v>
      </c>
      <c r="H242" s="7">
        <v>4000</v>
      </c>
      <c r="I242" s="9">
        <v>15</v>
      </c>
      <c r="J242" s="10">
        <f>SALCE[[#This Row],[After_Discount]]*SALCE[[#This Row],[Tax_%]]/100</f>
        <v>42.84</v>
      </c>
      <c r="K242" s="11">
        <v>0.14000000000000001</v>
      </c>
      <c r="L242" s="10">
        <f>SALCE[[#This Row],[Quantity]]*SALCE[[#This Row],[Unit_Price]]</f>
        <v>36000</v>
      </c>
      <c r="M242" s="10">
        <f>SALCE[[#This Row],[Gross_Sales]]*SALCE[[#This Row],[Discount_%]]/100</f>
        <v>5400</v>
      </c>
      <c r="N242" s="10">
        <f>SALCE[[#This Row],[After_Discount]]+SALCE[[#This Row],[Tax_Value]]</f>
        <v>30642.84</v>
      </c>
      <c r="O242" s="10">
        <f>SALCE[[#This Row],[Gross_Sales]]*70%</f>
        <v>25200</v>
      </c>
      <c r="P242" s="10">
        <f>SALCE[[#This Row],[Net_Sales]]-SALCE[[#This Row],[Cost_Price]]</f>
        <v>5442.84</v>
      </c>
      <c r="Q242" s="10">
        <f>SALCE[[#This Row],[Gross_Sales]]-SALCE[[#This Row],[Discount_Value]]</f>
        <v>30600</v>
      </c>
      <c r="R242" s="15" t="s">
        <v>53</v>
      </c>
      <c r="S242" s="15" t="s">
        <v>37</v>
      </c>
      <c r="T242" s="15" t="s">
        <v>22</v>
      </c>
    </row>
    <row r="243" spans="1:20" s="12" customFormat="1" ht="30" customHeight="1" thickTop="1" thickBot="1" x14ac:dyDescent="0.4">
      <c r="A243" s="7">
        <v>1242</v>
      </c>
      <c r="B243" s="8">
        <v>45899</v>
      </c>
      <c r="C243" s="14" t="s">
        <v>30</v>
      </c>
      <c r="D243" s="14" t="s">
        <v>24</v>
      </c>
      <c r="E243" s="14" t="s">
        <v>25</v>
      </c>
      <c r="F243" s="14" t="s">
        <v>20</v>
      </c>
      <c r="G243" s="7">
        <v>5</v>
      </c>
      <c r="H243" s="7">
        <v>500</v>
      </c>
      <c r="I243" s="9">
        <v>5</v>
      </c>
      <c r="J243" s="10">
        <f>SALCE[[#This Row],[After_Discount]]*SALCE[[#This Row],[Tax_%]]/100</f>
        <v>3.3250000000000006</v>
      </c>
      <c r="K243" s="11">
        <v>0.14000000000000001</v>
      </c>
      <c r="L243" s="10">
        <f>SALCE[[#This Row],[Quantity]]*SALCE[[#This Row],[Unit_Price]]</f>
        <v>2500</v>
      </c>
      <c r="M243" s="10">
        <f>SALCE[[#This Row],[Gross_Sales]]*SALCE[[#This Row],[Discount_%]]/100</f>
        <v>125</v>
      </c>
      <c r="N243" s="10">
        <f>SALCE[[#This Row],[After_Discount]]+SALCE[[#This Row],[Tax_Value]]</f>
        <v>2378.3249999999998</v>
      </c>
      <c r="O243" s="10">
        <f>SALCE[[#This Row],[Gross_Sales]]*70%</f>
        <v>1750</v>
      </c>
      <c r="P243" s="10">
        <f>SALCE[[#This Row],[Net_Sales]]-SALCE[[#This Row],[Cost_Price]]</f>
        <v>628.32499999999982</v>
      </c>
      <c r="Q243" s="10">
        <f>SALCE[[#This Row],[Gross_Sales]]-SALCE[[#This Row],[Discount_Value]]</f>
        <v>2375</v>
      </c>
      <c r="R243" s="15" t="s">
        <v>50</v>
      </c>
      <c r="S243" s="15" t="s">
        <v>37</v>
      </c>
      <c r="T243" s="15" t="s">
        <v>22</v>
      </c>
    </row>
    <row r="244" spans="1:20" s="12" customFormat="1" ht="30" customHeight="1" thickTop="1" thickBot="1" x14ac:dyDescent="0.4">
      <c r="A244" s="7">
        <v>1243</v>
      </c>
      <c r="B244" s="8">
        <v>45900</v>
      </c>
      <c r="C244" s="14" t="s">
        <v>35</v>
      </c>
      <c r="D244" s="14" t="s">
        <v>18</v>
      </c>
      <c r="E244" s="14" t="s">
        <v>25</v>
      </c>
      <c r="F244" s="14" t="s">
        <v>20</v>
      </c>
      <c r="G244" s="7">
        <v>6</v>
      </c>
      <c r="H244" s="7">
        <v>500</v>
      </c>
      <c r="I244" s="9">
        <v>5</v>
      </c>
      <c r="J244" s="10">
        <f>SALCE[[#This Row],[After_Discount]]*SALCE[[#This Row],[Tax_%]]/100</f>
        <v>3.9900000000000007</v>
      </c>
      <c r="K244" s="11">
        <v>0.14000000000000001</v>
      </c>
      <c r="L244" s="10">
        <f>SALCE[[#This Row],[Quantity]]*SALCE[[#This Row],[Unit_Price]]</f>
        <v>3000</v>
      </c>
      <c r="M244" s="10">
        <f>SALCE[[#This Row],[Gross_Sales]]*SALCE[[#This Row],[Discount_%]]/100</f>
        <v>150</v>
      </c>
      <c r="N244" s="10">
        <f>SALCE[[#This Row],[After_Discount]]+SALCE[[#This Row],[Tax_Value]]</f>
        <v>2853.99</v>
      </c>
      <c r="O244" s="10">
        <f>SALCE[[#This Row],[Gross_Sales]]*70%</f>
        <v>2100</v>
      </c>
      <c r="P244" s="10">
        <f>SALCE[[#This Row],[Net_Sales]]-SALCE[[#This Row],[Cost_Price]]</f>
        <v>753.98999999999978</v>
      </c>
      <c r="Q244" s="10">
        <f>SALCE[[#This Row],[Gross_Sales]]-SALCE[[#This Row],[Discount_Value]]</f>
        <v>2850</v>
      </c>
      <c r="R244" s="15" t="s">
        <v>61</v>
      </c>
      <c r="S244" s="15" t="s">
        <v>26</v>
      </c>
      <c r="T244" s="15" t="s">
        <v>27</v>
      </c>
    </row>
    <row r="245" spans="1:20" s="12" customFormat="1" ht="30" customHeight="1" thickTop="1" thickBot="1" x14ac:dyDescent="0.4">
      <c r="A245" s="7">
        <v>1244</v>
      </c>
      <c r="B245" s="8">
        <v>45901</v>
      </c>
      <c r="C245" s="14" t="s">
        <v>39</v>
      </c>
      <c r="D245" s="14" t="s">
        <v>38</v>
      </c>
      <c r="E245" s="14" t="s">
        <v>25</v>
      </c>
      <c r="F245" s="14" t="s">
        <v>20</v>
      </c>
      <c r="G245" s="7">
        <v>2</v>
      </c>
      <c r="H245" s="7">
        <v>500</v>
      </c>
      <c r="I245" s="9">
        <v>15</v>
      </c>
      <c r="J245" s="10">
        <f>SALCE[[#This Row],[After_Discount]]*SALCE[[#This Row],[Tax_%]]/100</f>
        <v>1.1900000000000002</v>
      </c>
      <c r="K245" s="11">
        <v>0.14000000000000001</v>
      </c>
      <c r="L245" s="10">
        <f>SALCE[[#This Row],[Quantity]]*SALCE[[#This Row],[Unit_Price]]</f>
        <v>1000</v>
      </c>
      <c r="M245" s="10">
        <f>SALCE[[#This Row],[Gross_Sales]]*SALCE[[#This Row],[Discount_%]]/100</f>
        <v>150</v>
      </c>
      <c r="N245" s="10">
        <f>SALCE[[#This Row],[After_Discount]]+SALCE[[#This Row],[Tax_Value]]</f>
        <v>851.19</v>
      </c>
      <c r="O245" s="10">
        <f>SALCE[[#This Row],[Gross_Sales]]*70%</f>
        <v>700</v>
      </c>
      <c r="P245" s="10">
        <f>SALCE[[#This Row],[Net_Sales]]-SALCE[[#This Row],[Cost_Price]]</f>
        <v>151.19000000000005</v>
      </c>
      <c r="Q245" s="10">
        <f>SALCE[[#This Row],[Gross_Sales]]-SALCE[[#This Row],[Discount_Value]]</f>
        <v>850</v>
      </c>
      <c r="R245" s="15" t="s">
        <v>56</v>
      </c>
      <c r="S245" s="15" t="s">
        <v>26</v>
      </c>
      <c r="T245" s="15" t="s">
        <v>27</v>
      </c>
    </row>
    <row r="246" spans="1:20" s="12" customFormat="1" ht="30" customHeight="1" thickTop="1" thickBot="1" x14ac:dyDescent="0.4">
      <c r="A246" s="7">
        <v>1245</v>
      </c>
      <c r="B246" s="8">
        <v>45902</v>
      </c>
      <c r="C246" s="14" t="s">
        <v>39</v>
      </c>
      <c r="D246" s="14" t="s">
        <v>24</v>
      </c>
      <c r="E246" s="14" t="s">
        <v>25</v>
      </c>
      <c r="F246" s="14" t="s">
        <v>20</v>
      </c>
      <c r="G246" s="7">
        <v>7</v>
      </c>
      <c r="H246" s="7">
        <v>500</v>
      </c>
      <c r="I246" s="9">
        <v>0</v>
      </c>
      <c r="J246" s="10">
        <f>SALCE[[#This Row],[After_Discount]]*SALCE[[#This Row],[Tax_%]]/100</f>
        <v>4.9000000000000004</v>
      </c>
      <c r="K246" s="11">
        <v>0.14000000000000001</v>
      </c>
      <c r="L246" s="10">
        <f>SALCE[[#This Row],[Quantity]]*SALCE[[#This Row],[Unit_Price]]</f>
        <v>3500</v>
      </c>
      <c r="M246" s="10">
        <f>SALCE[[#This Row],[Gross_Sales]]*SALCE[[#This Row],[Discount_%]]/100</f>
        <v>0</v>
      </c>
      <c r="N246" s="10">
        <f>SALCE[[#This Row],[After_Discount]]+SALCE[[#This Row],[Tax_Value]]</f>
        <v>3504.9</v>
      </c>
      <c r="O246" s="10">
        <f>SALCE[[#This Row],[Gross_Sales]]*70%</f>
        <v>2450</v>
      </c>
      <c r="P246" s="10">
        <f>SALCE[[#This Row],[Net_Sales]]-SALCE[[#This Row],[Cost_Price]]</f>
        <v>1054.9000000000001</v>
      </c>
      <c r="Q246" s="10">
        <f>SALCE[[#This Row],[Gross_Sales]]-SALCE[[#This Row],[Discount_Value]]</f>
        <v>3500</v>
      </c>
      <c r="R246" s="15" t="s">
        <v>60</v>
      </c>
      <c r="S246" s="15" t="s">
        <v>26</v>
      </c>
      <c r="T246" s="15" t="s">
        <v>27</v>
      </c>
    </row>
    <row r="247" spans="1:20" s="12" customFormat="1" ht="30" customHeight="1" thickTop="1" thickBot="1" x14ac:dyDescent="0.4">
      <c r="A247" s="7">
        <v>1246</v>
      </c>
      <c r="B247" s="8">
        <v>45903</v>
      </c>
      <c r="C247" s="14" t="s">
        <v>30</v>
      </c>
      <c r="D247" s="14" t="s">
        <v>41</v>
      </c>
      <c r="E247" s="14" t="s">
        <v>40</v>
      </c>
      <c r="F247" s="14" t="s">
        <v>20</v>
      </c>
      <c r="G247" s="7">
        <v>3</v>
      </c>
      <c r="H247" s="7">
        <v>800</v>
      </c>
      <c r="I247" s="9">
        <v>10</v>
      </c>
      <c r="J247" s="10">
        <f>SALCE[[#This Row],[After_Discount]]*SALCE[[#This Row],[Tax_%]]/100</f>
        <v>3.0240000000000005</v>
      </c>
      <c r="K247" s="11">
        <v>0.14000000000000001</v>
      </c>
      <c r="L247" s="10">
        <f>SALCE[[#This Row],[Quantity]]*SALCE[[#This Row],[Unit_Price]]</f>
        <v>2400</v>
      </c>
      <c r="M247" s="10">
        <f>SALCE[[#This Row],[Gross_Sales]]*SALCE[[#This Row],[Discount_%]]/100</f>
        <v>240</v>
      </c>
      <c r="N247" s="10">
        <f>SALCE[[#This Row],[After_Discount]]+SALCE[[#This Row],[Tax_Value]]</f>
        <v>2163.0239999999999</v>
      </c>
      <c r="O247" s="10">
        <f>SALCE[[#This Row],[Gross_Sales]]*70%</f>
        <v>1680</v>
      </c>
      <c r="P247" s="10">
        <f>SALCE[[#This Row],[Net_Sales]]-SALCE[[#This Row],[Cost_Price]]</f>
        <v>483.02399999999989</v>
      </c>
      <c r="Q247" s="10">
        <f>SALCE[[#This Row],[Gross_Sales]]-SALCE[[#This Row],[Discount_Value]]</f>
        <v>2160</v>
      </c>
      <c r="R247" s="15" t="s">
        <v>57</v>
      </c>
      <c r="S247" s="15" t="s">
        <v>21</v>
      </c>
      <c r="T247" s="15" t="s">
        <v>27</v>
      </c>
    </row>
    <row r="248" spans="1:20" s="12" customFormat="1" ht="30" customHeight="1" thickTop="1" thickBot="1" x14ac:dyDescent="0.4">
      <c r="A248" s="7">
        <v>1247</v>
      </c>
      <c r="B248" s="8">
        <v>45904</v>
      </c>
      <c r="C248" s="14" t="s">
        <v>39</v>
      </c>
      <c r="D248" s="14" t="s">
        <v>41</v>
      </c>
      <c r="E248" s="14" t="s">
        <v>40</v>
      </c>
      <c r="F248" s="14" t="s">
        <v>20</v>
      </c>
      <c r="G248" s="7">
        <v>3</v>
      </c>
      <c r="H248" s="7">
        <v>800</v>
      </c>
      <c r="I248" s="9">
        <v>5</v>
      </c>
      <c r="J248" s="10">
        <f>SALCE[[#This Row],[After_Discount]]*SALCE[[#This Row],[Tax_%]]/100</f>
        <v>3.1920000000000006</v>
      </c>
      <c r="K248" s="11">
        <v>0.14000000000000001</v>
      </c>
      <c r="L248" s="10">
        <f>SALCE[[#This Row],[Quantity]]*SALCE[[#This Row],[Unit_Price]]</f>
        <v>2400</v>
      </c>
      <c r="M248" s="10">
        <f>SALCE[[#This Row],[Gross_Sales]]*SALCE[[#This Row],[Discount_%]]/100</f>
        <v>120</v>
      </c>
      <c r="N248" s="10">
        <f>SALCE[[#This Row],[After_Discount]]+SALCE[[#This Row],[Tax_Value]]</f>
        <v>2283.192</v>
      </c>
      <c r="O248" s="10">
        <f>SALCE[[#This Row],[Gross_Sales]]*70%</f>
        <v>1680</v>
      </c>
      <c r="P248" s="10">
        <f>SALCE[[#This Row],[Net_Sales]]-SALCE[[#This Row],[Cost_Price]]</f>
        <v>603.19200000000001</v>
      </c>
      <c r="Q248" s="10">
        <f>SALCE[[#This Row],[Gross_Sales]]-SALCE[[#This Row],[Discount_Value]]</f>
        <v>2280</v>
      </c>
      <c r="R248" s="15" t="s">
        <v>52</v>
      </c>
      <c r="S248" s="15" t="s">
        <v>26</v>
      </c>
      <c r="T248" s="15" t="s">
        <v>27</v>
      </c>
    </row>
    <row r="249" spans="1:20" s="12" customFormat="1" ht="30" customHeight="1" thickTop="1" thickBot="1" x14ac:dyDescent="0.4">
      <c r="A249" s="7">
        <v>1248</v>
      </c>
      <c r="B249" s="8">
        <v>45905</v>
      </c>
      <c r="C249" s="14" t="s">
        <v>17</v>
      </c>
      <c r="D249" s="14" t="s">
        <v>24</v>
      </c>
      <c r="E249" s="14" t="s">
        <v>33</v>
      </c>
      <c r="F249" s="14" t="s">
        <v>32</v>
      </c>
      <c r="G249" s="7">
        <v>7</v>
      </c>
      <c r="H249" s="7">
        <v>6000</v>
      </c>
      <c r="I249" s="9">
        <v>10</v>
      </c>
      <c r="J249" s="10">
        <f>SALCE[[#This Row],[After_Discount]]*SALCE[[#This Row],[Tax_%]]/100</f>
        <v>52.920000000000009</v>
      </c>
      <c r="K249" s="11">
        <v>0.14000000000000001</v>
      </c>
      <c r="L249" s="10">
        <f>SALCE[[#This Row],[Quantity]]*SALCE[[#This Row],[Unit_Price]]</f>
        <v>42000</v>
      </c>
      <c r="M249" s="10">
        <f>SALCE[[#This Row],[Gross_Sales]]*SALCE[[#This Row],[Discount_%]]/100</f>
        <v>4200</v>
      </c>
      <c r="N249" s="10">
        <f>SALCE[[#This Row],[After_Discount]]+SALCE[[#This Row],[Tax_Value]]</f>
        <v>37852.92</v>
      </c>
      <c r="O249" s="10">
        <f>SALCE[[#This Row],[Gross_Sales]]*70%</f>
        <v>29399.999999999996</v>
      </c>
      <c r="P249" s="10">
        <f>SALCE[[#This Row],[Net_Sales]]-SALCE[[#This Row],[Cost_Price]]</f>
        <v>8452.9200000000019</v>
      </c>
      <c r="Q249" s="10">
        <f>SALCE[[#This Row],[Gross_Sales]]-SALCE[[#This Row],[Discount_Value]]</f>
        <v>37800</v>
      </c>
      <c r="R249" s="15" t="s">
        <v>58</v>
      </c>
      <c r="S249" s="15" t="s">
        <v>26</v>
      </c>
      <c r="T249" s="15" t="s">
        <v>22</v>
      </c>
    </row>
    <row r="250" spans="1:20" s="12" customFormat="1" ht="30" customHeight="1" thickTop="1" thickBot="1" x14ac:dyDescent="0.4">
      <c r="A250" s="7">
        <v>1249</v>
      </c>
      <c r="B250" s="8">
        <v>45906</v>
      </c>
      <c r="C250" s="14" t="s">
        <v>17</v>
      </c>
      <c r="D250" s="14" t="s">
        <v>36</v>
      </c>
      <c r="E250" s="14" t="s">
        <v>34</v>
      </c>
      <c r="F250" s="14" t="s">
        <v>32</v>
      </c>
      <c r="G250" s="7">
        <v>10</v>
      </c>
      <c r="H250" s="7">
        <v>4000</v>
      </c>
      <c r="I250" s="9">
        <v>5</v>
      </c>
      <c r="J250" s="10">
        <f>SALCE[[#This Row],[After_Discount]]*SALCE[[#This Row],[Tax_%]]/100</f>
        <v>53.20000000000001</v>
      </c>
      <c r="K250" s="11">
        <v>0.14000000000000001</v>
      </c>
      <c r="L250" s="10">
        <f>SALCE[[#This Row],[Quantity]]*SALCE[[#This Row],[Unit_Price]]</f>
        <v>40000</v>
      </c>
      <c r="M250" s="10">
        <f>SALCE[[#This Row],[Gross_Sales]]*SALCE[[#This Row],[Discount_%]]/100</f>
        <v>2000</v>
      </c>
      <c r="N250" s="10">
        <f>SALCE[[#This Row],[After_Discount]]+SALCE[[#This Row],[Tax_Value]]</f>
        <v>38053.199999999997</v>
      </c>
      <c r="O250" s="10">
        <f>SALCE[[#This Row],[Gross_Sales]]*70%</f>
        <v>28000</v>
      </c>
      <c r="P250" s="10">
        <f>SALCE[[#This Row],[Net_Sales]]-SALCE[[#This Row],[Cost_Price]]</f>
        <v>10053.199999999997</v>
      </c>
      <c r="Q250" s="10">
        <f>SALCE[[#This Row],[Gross_Sales]]-SALCE[[#This Row],[Discount_Value]]</f>
        <v>38000</v>
      </c>
      <c r="R250" s="15" t="s">
        <v>60</v>
      </c>
      <c r="S250" s="15" t="s">
        <v>21</v>
      </c>
      <c r="T250" s="15" t="s">
        <v>27</v>
      </c>
    </row>
    <row r="251" spans="1:20" s="12" customFormat="1" ht="30" customHeight="1" thickTop="1" thickBot="1" x14ac:dyDescent="0.4">
      <c r="A251" s="7">
        <v>1250</v>
      </c>
      <c r="B251" s="8">
        <v>45907</v>
      </c>
      <c r="C251" s="14" t="s">
        <v>28</v>
      </c>
      <c r="D251" s="14" t="s">
        <v>18</v>
      </c>
      <c r="E251" s="14" t="s">
        <v>31</v>
      </c>
      <c r="F251" s="14" t="s">
        <v>32</v>
      </c>
      <c r="G251" s="7">
        <v>10</v>
      </c>
      <c r="H251" s="7">
        <v>15000</v>
      </c>
      <c r="I251" s="9">
        <v>15</v>
      </c>
      <c r="J251" s="10">
        <f>SALCE[[#This Row],[After_Discount]]*SALCE[[#This Row],[Tax_%]]/100</f>
        <v>178.5</v>
      </c>
      <c r="K251" s="11">
        <v>0.14000000000000001</v>
      </c>
      <c r="L251" s="10">
        <f>SALCE[[#This Row],[Quantity]]*SALCE[[#This Row],[Unit_Price]]</f>
        <v>150000</v>
      </c>
      <c r="M251" s="10">
        <f>SALCE[[#This Row],[Gross_Sales]]*SALCE[[#This Row],[Discount_%]]/100</f>
        <v>22500</v>
      </c>
      <c r="N251" s="10">
        <f>SALCE[[#This Row],[After_Discount]]+SALCE[[#This Row],[Tax_Value]]</f>
        <v>127678.5</v>
      </c>
      <c r="O251" s="10">
        <f>SALCE[[#This Row],[Gross_Sales]]*70%</f>
        <v>105000</v>
      </c>
      <c r="P251" s="10">
        <f>SALCE[[#This Row],[Net_Sales]]-SALCE[[#This Row],[Cost_Price]]</f>
        <v>22678.5</v>
      </c>
      <c r="Q251" s="10">
        <f>SALCE[[#This Row],[Gross_Sales]]-SALCE[[#This Row],[Discount_Value]]</f>
        <v>127500</v>
      </c>
      <c r="R251" s="15" t="s">
        <v>59</v>
      </c>
      <c r="S251" s="15" t="s">
        <v>21</v>
      </c>
      <c r="T251" s="15" t="s">
        <v>27</v>
      </c>
    </row>
    <row r="252" spans="1:20" s="12" customFormat="1" ht="30" customHeight="1" thickTop="1" thickBot="1" x14ac:dyDescent="0.4">
      <c r="A252" s="7">
        <v>1251</v>
      </c>
      <c r="B252" s="8">
        <v>45908</v>
      </c>
      <c r="C252" s="14" t="s">
        <v>30</v>
      </c>
      <c r="D252" s="14" t="s">
        <v>18</v>
      </c>
      <c r="E252" s="14" t="s">
        <v>40</v>
      </c>
      <c r="F252" s="14" t="s">
        <v>20</v>
      </c>
      <c r="G252" s="7">
        <v>5</v>
      </c>
      <c r="H252" s="7">
        <v>800</v>
      </c>
      <c r="I252" s="9">
        <v>5</v>
      </c>
      <c r="J252" s="10">
        <f>SALCE[[#This Row],[After_Discount]]*SALCE[[#This Row],[Tax_%]]/100</f>
        <v>5.32</v>
      </c>
      <c r="K252" s="11">
        <v>0.14000000000000001</v>
      </c>
      <c r="L252" s="10">
        <f>SALCE[[#This Row],[Quantity]]*SALCE[[#This Row],[Unit_Price]]</f>
        <v>4000</v>
      </c>
      <c r="M252" s="10">
        <f>SALCE[[#This Row],[Gross_Sales]]*SALCE[[#This Row],[Discount_%]]/100</f>
        <v>200</v>
      </c>
      <c r="N252" s="10">
        <f>SALCE[[#This Row],[After_Discount]]+SALCE[[#This Row],[Tax_Value]]</f>
        <v>3805.32</v>
      </c>
      <c r="O252" s="10">
        <f>SALCE[[#This Row],[Gross_Sales]]*70%</f>
        <v>2800</v>
      </c>
      <c r="P252" s="10">
        <f>SALCE[[#This Row],[Net_Sales]]-SALCE[[#This Row],[Cost_Price]]</f>
        <v>1005.3200000000002</v>
      </c>
      <c r="Q252" s="10">
        <f>SALCE[[#This Row],[Gross_Sales]]-SALCE[[#This Row],[Discount_Value]]</f>
        <v>3800</v>
      </c>
      <c r="R252" s="15" t="s">
        <v>49</v>
      </c>
      <c r="S252" s="15" t="s">
        <v>21</v>
      </c>
      <c r="T252" s="15" t="s">
        <v>22</v>
      </c>
    </row>
    <row r="253" spans="1:20" s="12" customFormat="1" ht="30" customHeight="1" thickTop="1" thickBot="1" x14ac:dyDescent="0.4">
      <c r="A253" s="7">
        <v>1252</v>
      </c>
      <c r="B253" s="8">
        <v>45909</v>
      </c>
      <c r="C253" s="14" t="s">
        <v>17</v>
      </c>
      <c r="D253" s="14" t="s">
        <v>24</v>
      </c>
      <c r="E253" s="14" t="s">
        <v>40</v>
      </c>
      <c r="F253" s="14" t="s">
        <v>20</v>
      </c>
      <c r="G253" s="7">
        <v>9</v>
      </c>
      <c r="H253" s="7">
        <v>800</v>
      </c>
      <c r="I253" s="9">
        <v>10</v>
      </c>
      <c r="J253" s="10">
        <f>SALCE[[#This Row],[After_Discount]]*SALCE[[#This Row],[Tax_%]]/100</f>
        <v>9.072000000000001</v>
      </c>
      <c r="K253" s="11">
        <v>0.14000000000000001</v>
      </c>
      <c r="L253" s="10">
        <f>SALCE[[#This Row],[Quantity]]*SALCE[[#This Row],[Unit_Price]]</f>
        <v>7200</v>
      </c>
      <c r="M253" s="10">
        <f>SALCE[[#This Row],[Gross_Sales]]*SALCE[[#This Row],[Discount_%]]/100</f>
        <v>720</v>
      </c>
      <c r="N253" s="10">
        <f>SALCE[[#This Row],[After_Discount]]+SALCE[[#This Row],[Tax_Value]]</f>
        <v>6489.0720000000001</v>
      </c>
      <c r="O253" s="10">
        <f>SALCE[[#This Row],[Gross_Sales]]*70%</f>
        <v>5040</v>
      </c>
      <c r="P253" s="10">
        <f>SALCE[[#This Row],[Net_Sales]]-SALCE[[#This Row],[Cost_Price]]</f>
        <v>1449.0720000000001</v>
      </c>
      <c r="Q253" s="10">
        <f>SALCE[[#This Row],[Gross_Sales]]-SALCE[[#This Row],[Discount_Value]]</f>
        <v>6480</v>
      </c>
      <c r="R253" s="15" t="s">
        <v>57</v>
      </c>
      <c r="S253" s="15" t="s">
        <v>37</v>
      </c>
      <c r="T253" s="15" t="s">
        <v>27</v>
      </c>
    </row>
    <row r="254" spans="1:20" s="12" customFormat="1" ht="30" customHeight="1" thickTop="1" thickBot="1" x14ac:dyDescent="0.4">
      <c r="A254" s="7">
        <v>1253</v>
      </c>
      <c r="B254" s="8">
        <v>45910</v>
      </c>
      <c r="C254" s="14" t="s">
        <v>35</v>
      </c>
      <c r="D254" s="14" t="s">
        <v>38</v>
      </c>
      <c r="E254" s="14" t="s">
        <v>40</v>
      </c>
      <c r="F254" s="14" t="s">
        <v>20</v>
      </c>
      <c r="G254" s="7">
        <v>9</v>
      </c>
      <c r="H254" s="7">
        <v>800</v>
      </c>
      <c r="I254" s="9">
        <v>10</v>
      </c>
      <c r="J254" s="10">
        <f>SALCE[[#This Row],[After_Discount]]*SALCE[[#This Row],[Tax_%]]/100</f>
        <v>9.072000000000001</v>
      </c>
      <c r="K254" s="11">
        <v>0.14000000000000001</v>
      </c>
      <c r="L254" s="10">
        <f>SALCE[[#This Row],[Quantity]]*SALCE[[#This Row],[Unit_Price]]</f>
        <v>7200</v>
      </c>
      <c r="M254" s="10">
        <f>SALCE[[#This Row],[Gross_Sales]]*SALCE[[#This Row],[Discount_%]]/100</f>
        <v>720</v>
      </c>
      <c r="N254" s="10">
        <f>SALCE[[#This Row],[After_Discount]]+SALCE[[#This Row],[Tax_Value]]</f>
        <v>6489.0720000000001</v>
      </c>
      <c r="O254" s="10">
        <f>SALCE[[#This Row],[Gross_Sales]]*70%</f>
        <v>5040</v>
      </c>
      <c r="P254" s="10">
        <f>SALCE[[#This Row],[Net_Sales]]-SALCE[[#This Row],[Cost_Price]]</f>
        <v>1449.0720000000001</v>
      </c>
      <c r="Q254" s="10">
        <f>SALCE[[#This Row],[Gross_Sales]]-SALCE[[#This Row],[Discount_Value]]</f>
        <v>6480</v>
      </c>
      <c r="R254" s="15" t="s">
        <v>62</v>
      </c>
      <c r="S254" s="15" t="s">
        <v>21</v>
      </c>
      <c r="T254" s="15" t="s">
        <v>22</v>
      </c>
    </row>
    <row r="255" spans="1:20" s="12" customFormat="1" ht="30" customHeight="1" thickTop="1" thickBot="1" x14ac:dyDescent="0.4">
      <c r="A255" s="7">
        <v>1254</v>
      </c>
      <c r="B255" s="8">
        <v>45911</v>
      </c>
      <c r="C255" s="14" t="s">
        <v>17</v>
      </c>
      <c r="D255" s="14" t="s">
        <v>18</v>
      </c>
      <c r="E255" s="14" t="s">
        <v>25</v>
      </c>
      <c r="F255" s="14" t="s">
        <v>20</v>
      </c>
      <c r="G255" s="7">
        <v>7</v>
      </c>
      <c r="H255" s="7">
        <v>500</v>
      </c>
      <c r="I255" s="9">
        <v>0</v>
      </c>
      <c r="J255" s="10">
        <f>SALCE[[#This Row],[After_Discount]]*SALCE[[#This Row],[Tax_%]]/100</f>
        <v>4.9000000000000004</v>
      </c>
      <c r="K255" s="11">
        <v>0.14000000000000001</v>
      </c>
      <c r="L255" s="10">
        <f>SALCE[[#This Row],[Quantity]]*SALCE[[#This Row],[Unit_Price]]</f>
        <v>3500</v>
      </c>
      <c r="M255" s="10">
        <f>SALCE[[#This Row],[Gross_Sales]]*SALCE[[#This Row],[Discount_%]]/100</f>
        <v>0</v>
      </c>
      <c r="N255" s="10">
        <f>SALCE[[#This Row],[After_Discount]]+SALCE[[#This Row],[Tax_Value]]</f>
        <v>3504.9</v>
      </c>
      <c r="O255" s="10">
        <f>SALCE[[#This Row],[Gross_Sales]]*70%</f>
        <v>2450</v>
      </c>
      <c r="P255" s="10">
        <f>SALCE[[#This Row],[Net_Sales]]-SALCE[[#This Row],[Cost_Price]]</f>
        <v>1054.9000000000001</v>
      </c>
      <c r="Q255" s="10">
        <f>SALCE[[#This Row],[Gross_Sales]]-SALCE[[#This Row],[Discount_Value]]</f>
        <v>3500</v>
      </c>
      <c r="R255" s="15" t="s">
        <v>62</v>
      </c>
      <c r="S255" s="15" t="s">
        <v>26</v>
      </c>
      <c r="T255" s="15" t="s">
        <v>22</v>
      </c>
    </row>
    <row r="256" spans="1:20" s="12" customFormat="1" ht="30" customHeight="1" thickTop="1" thickBot="1" x14ac:dyDescent="0.4">
      <c r="A256" s="7">
        <v>1255</v>
      </c>
      <c r="B256" s="8">
        <v>45912</v>
      </c>
      <c r="C256" s="14" t="s">
        <v>39</v>
      </c>
      <c r="D256" s="14" t="s">
        <v>18</v>
      </c>
      <c r="E256" s="14" t="s">
        <v>31</v>
      </c>
      <c r="F256" s="14" t="s">
        <v>32</v>
      </c>
      <c r="G256" s="7">
        <v>8</v>
      </c>
      <c r="H256" s="7">
        <v>15000</v>
      </c>
      <c r="I256" s="9">
        <v>10</v>
      </c>
      <c r="J256" s="10">
        <f>SALCE[[#This Row],[After_Discount]]*SALCE[[#This Row],[Tax_%]]/100</f>
        <v>151.20000000000002</v>
      </c>
      <c r="K256" s="11">
        <v>0.14000000000000001</v>
      </c>
      <c r="L256" s="10">
        <f>SALCE[[#This Row],[Quantity]]*SALCE[[#This Row],[Unit_Price]]</f>
        <v>120000</v>
      </c>
      <c r="M256" s="10">
        <f>SALCE[[#This Row],[Gross_Sales]]*SALCE[[#This Row],[Discount_%]]/100</f>
        <v>12000</v>
      </c>
      <c r="N256" s="10">
        <f>SALCE[[#This Row],[After_Discount]]+SALCE[[#This Row],[Tax_Value]]</f>
        <v>108151.2</v>
      </c>
      <c r="O256" s="10">
        <f>SALCE[[#This Row],[Gross_Sales]]*70%</f>
        <v>84000</v>
      </c>
      <c r="P256" s="10">
        <f>SALCE[[#This Row],[Net_Sales]]-SALCE[[#This Row],[Cost_Price]]</f>
        <v>24151.199999999997</v>
      </c>
      <c r="Q256" s="10">
        <f>SALCE[[#This Row],[Gross_Sales]]-SALCE[[#This Row],[Discount_Value]]</f>
        <v>108000</v>
      </c>
      <c r="R256" s="15" t="s">
        <v>56</v>
      </c>
      <c r="S256" s="15" t="s">
        <v>26</v>
      </c>
      <c r="T256" s="15" t="s">
        <v>27</v>
      </c>
    </row>
    <row r="257" spans="1:20" s="12" customFormat="1" ht="30" customHeight="1" thickTop="1" thickBot="1" x14ac:dyDescent="0.4">
      <c r="A257" s="7">
        <v>1256</v>
      </c>
      <c r="B257" s="8">
        <v>45913</v>
      </c>
      <c r="C257" s="14" t="s">
        <v>23</v>
      </c>
      <c r="D257" s="14" t="s">
        <v>29</v>
      </c>
      <c r="E257" s="14" t="s">
        <v>25</v>
      </c>
      <c r="F257" s="14" t="s">
        <v>20</v>
      </c>
      <c r="G257" s="7">
        <v>2</v>
      </c>
      <c r="H257" s="7">
        <v>500</v>
      </c>
      <c r="I257" s="9">
        <v>10</v>
      </c>
      <c r="J257" s="10">
        <f>SALCE[[#This Row],[After_Discount]]*SALCE[[#This Row],[Tax_%]]/100</f>
        <v>1.2600000000000002</v>
      </c>
      <c r="K257" s="11">
        <v>0.14000000000000001</v>
      </c>
      <c r="L257" s="10">
        <f>SALCE[[#This Row],[Quantity]]*SALCE[[#This Row],[Unit_Price]]</f>
        <v>1000</v>
      </c>
      <c r="M257" s="10">
        <f>SALCE[[#This Row],[Gross_Sales]]*SALCE[[#This Row],[Discount_%]]/100</f>
        <v>100</v>
      </c>
      <c r="N257" s="10">
        <f>SALCE[[#This Row],[After_Discount]]+SALCE[[#This Row],[Tax_Value]]</f>
        <v>901.26</v>
      </c>
      <c r="O257" s="10">
        <f>SALCE[[#This Row],[Gross_Sales]]*70%</f>
        <v>700</v>
      </c>
      <c r="P257" s="10">
        <f>SALCE[[#This Row],[Net_Sales]]-SALCE[[#This Row],[Cost_Price]]</f>
        <v>201.26</v>
      </c>
      <c r="Q257" s="10">
        <f>SALCE[[#This Row],[Gross_Sales]]-SALCE[[#This Row],[Discount_Value]]</f>
        <v>900</v>
      </c>
      <c r="R257" s="15" t="s">
        <v>50</v>
      </c>
      <c r="S257" s="15" t="s">
        <v>21</v>
      </c>
      <c r="T257" s="15" t="s">
        <v>22</v>
      </c>
    </row>
    <row r="258" spans="1:20" s="12" customFormat="1" ht="30" customHeight="1" thickTop="1" thickBot="1" x14ac:dyDescent="0.4">
      <c r="A258" s="7">
        <v>1257</v>
      </c>
      <c r="B258" s="8">
        <v>45914</v>
      </c>
      <c r="C258" s="14" t="s">
        <v>39</v>
      </c>
      <c r="D258" s="14" t="s">
        <v>41</v>
      </c>
      <c r="E258" s="14" t="s">
        <v>33</v>
      </c>
      <c r="F258" s="14" t="s">
        <v>32</v>
      </c>
      <c r="G258" s="7">
        <v>9</v>
      </c>
      <c r="H258" s="7">
        <v>6000</v>
      </c>
      <c r="I258" s="9">
        <v>0</v>
      </c>
      <c r="J258" s="10">
        <f>SALCE[[#This Row],[After_Discount]]*SALCE[[#This Row],[Tax_%]]/100</f>
        <v>75.600000000000009</v>
      </c>
      <c r="K258" s="11">
        <v>0.14000000000000001</v>
      </c>
      <c r="L258" s="10">
        <f>SALCE[[#This Row],[Quantity]]*SALCE[[#This Row],[Unit_Price]]</f>
        <v>54000</v>
      </c>
      <c r="M258" s="10">
        <f>SALCE[[#This Row],[Gross_Sales]]*SALCE[[#This Row],[Discount_%]]/100</f>
        <v>0</v>
      </c>
      <c r="N258" s="10">
        <f>SALCE[[#This Row],[After_Discount]]+SALCE[[#This Row],[Tax_Value]]</f>
        <v>54075.6</v>
      </c>
      <c r="O258" s="10">
        <f>SALCE[[#This Row],[Gross_Sales]]*70%</f>
        <v>37800</v>
      </c>
      <c r="P258" s="10">
        <f>SALCE[[#This Row],[Net_Sales]]-SALCE[[#This Row],[Cost_Price]]</f>
        <v>16275.599999999999</v>
      </c>
      <c r="Q258" s="10">
        <f>SALCE[[#This Row],[Gross_Sales]]-SALCE[[#This Row],[Discount_Value]]</f>
        <v>54000</v>
      </c>
      <c r="R258" s="15" t="s">
        <v>49</v>
      </c>
      <c r="S258" s="15" t="s">
        <v>26</v>
      </c>
      <c r="T258" s="15" t="s">
        <v>27</v>
      </c>
    </row>
    <row r="259" spans="1:20" s="12" customFormat="1" ht="30" customHeight="1" thickTop="1" thickBot="1" x14ac:dyDescent="0.4">
      <c r="A259" s="7">
        <v>1258</v>
      </c>
      <c r="B259" s="8">
        <v>45915</v>
      </c>
      <c r="C259" s="14" t="s">
        <v>17</v>
      </c>
      <c r="D259" s="14" t="s">
        <v>24</v>
      </c>
      <c r="E259" s="14" t="s">
        <v>34</v>
      </c>
      <c r="F259" s="14" t="s">
        <v>32</v>
      </c>
      <c r="G259" s="7">
        <v>1</v>
      </c>
      <c r="H259" s="7">
        <v>4000</v>
      </c>
      <c r="I259" s="9">
        <v>5</v>
      </c>
      <c r="J259" s="10">
        <f>SALCE[[#This Row],[After_Discount]]*SALCE[[#This Row],[Tax_%]]/100</f>
        <v>5.32</v>
      </c>
      <c r="K259" s="11">
        <v>0.14000000000000001</v>
      </c>
      <c r="L259" s="10">
        <f>SALCE[[#This Row],[Quantity]]*SALCE[[#This Row],[Unit_Price]]</f>
        <v>4000</v>
      </c>
      <c r="M259" s="10">
        <f>SALCE[[#This Row],[Gross_Sales]]*SALCE[[#This Row],[Discount_%]]/100</f>
        <v>200</v>
      </c>
      <c r="N259" s="10">
        <f>SALCE[[#This Row],[After_Discount]]+SALCE[[#This Row],[Tax_Value]]</f>
        <v>3805.32</v>
      </c>
      <c r="O259" s="10">
        <f>SALCE[[#This Row],[Gross_Sales]]*70%</f>
        <v>2800</v>
      </c>
      <c r="P259" s="10">
        <f>SALCE[[#This Row],[Net_Sales]]-SALCE[[#This Row],[Cost_Price]]</f>
        <v>1005.3200000000002</v>
      </c>
      <c r="Q259" s="10">
        <f>SALCE[[#This Row],[Gross_Sales]]-SALCE[[#This Row],[Discount_Value]]</f>
        <v>3800</v>
      </c>
      <c r="R259" s="15" t="s">
        <v>61</v>
      </c>
      <c r="S259" s="15" t="s">
        <v>21</v>
      </c>
      <c r="T259" s="15" t="s">
        <v>27</v>
      </c>
    </row>
    <row r="260" spans="1:20" s="12" customFormat="1" ht="30" customHeight="1" thickTop="1" thickBot="1" x14ac:dyDescent="0.4">
      <c r="A260" s="7">
        <v>1259</v>
      </c>
      <c r="B260" s="8">
        <v>45916</v>
      </c>
      <c r="C260" s="14" t="s">
        <v>35</v>
      </c>
      <c r="D260" s="14" t="s">
        <v>24</v>
      </c>
      <c r="E260" s="14" t="s">
        <v>25</v>
      </c>
      <c r="F260" s="14" t="s">
        <v>20</v>
      </c>
      <c r="G260" s="7">
        <v>9</v>
      </c>
      <c r="H260" s="7">
        <v>500</v>
      </c>
      <c r="I260" s="9">
        <v>10</v>
      </c>
      <c r="J260" s="10">
        <f>SALCE[[#This Row],[After_Discount]]*SALCE[[#This Row],[Tax_%]]/100</f>
        <v>5.67</v>
      </c>
      <c r="K260" s="11">
        <v>0.14000000000000001</v>
      </c>
      <c r="L260" s="10">
        <f>SALCE[[#This Row],[Quantity]]*SALCE[[#This Row],[Unit_Price]]</f>
        <v>4500</v>
      </c>
      <c r="M260" s="10">
        <f>SALCE[[#This Row],[Gross_Sales]]*SALCE[[#This Row],[Discount_%]]/100</f>
        <v>450</v>
      </c>
      <c r="N260" s="10">
        <f>SALCE[[#This Row],[After_Discount]]+SALCE[[#This Row],[Tax_Value]]</f>
        <v>4055.67</v>
      </c>
      <c r="O260" s="10">
        <f>SALCE[[#This Row],[Gross_Sales]]*70%</f>
        <v>3150</v>
      </c>
      <c r="P260" s="10">
        <f>SALCE[[#This Row],[Net_Sales]]-SALCE[[#This Row],[Cost_Price]]</f>
        <v>905.67000000000007</v>
      </c>
      <c r="Q260" s="10">
        <f>SALCE[[#This Row],[Gross_Sales]]-SALCE[[#This Row],[Discount_Value]]</f>
        <v>4050</v>
      </c>
      <c r="R260" s="15" t="s">
        <v>61</v>
      </c>
      <c r="S260" s="15" t="s">
        <v>37</v>
      </c>
      <c r="T260" s="15" t="s">
        <v>27</v>
      </c>
    </row>
    <row r="261" spans="1:20" s="12" customFormat="1" ht="30" customHeight="1" thickTop="1" thickBot="1" x14ac:dyDescent="0.4">
      <c r="A261" s="7">
        <v>1260</v>
      </c>
      <c r="B261" s="8">
        <v>45917</v>
      </c>
      <c r="C261" s="14" t="s">
        <v>17</v>
      </c>
      <c r="D261" s="14" t="s">
        <v>18</v>
      </c>
      <c r="E261" s="14" t="s">
        <v>33</v>
      </c>
      <c r="F261" s="14" t="s">
        <v>32</v>
      </c>
      <c r="G261" s="7">
        <v>6</v>
      </c>
      <c r="H261" s="7">
        <v>6000</v>
      </c>
      <c r="I261" s="9">
        <v>15</v>
      </c>
      <c r="J261" s="10">
        <f>SALCE[[#This Row],[After_Discount]]*SALCE[[#This Row],[Tax_%]]/100</f>
        <v>42.84</v>
      </c>
      <c r="K261" s="11">
        <v>0.14000000000000001</v>
      </c>
      <c r="L261" s="10">
        <f>SALCE[[#This Row],[Quantity]]*SALCE[[#This Row],[Unit_Price]]</f>
        <v>36000</v>
      </c>
      <c r="M261" s="10">
        <f>SALCE[[#This Row],[Gross_Sales]]*SALCE[[#This Row],[Discount_%]]/100</f>
        <v>5400</v>
      </c>
      <c r="N261" s="10">
        <f>SALCE[[#This Row],[After_Discount]]+SALCE[[#This Row],[Tax_Value]]</f>
        <v>30642.84</v>
      </c>
      <c r="O261" s="10">
        <f>SALCE[[#This Row],[Gross_Sales]]*70%</f>
        <v>25200</v>
      </c>
      <c r="P261" s="10">
        <f>SALCE[[#This Row],[Net_Sales]]-SALCE[[#This Row],[Cost_Price]]</f>
        <v>5442.84</v>
      </c>
      <c r="Q261" s="10">
        <f>SALCE[[#This Row],[Gross_Sales]]-SALCE[[#This Row],[Discount_Value]]</f>
        <v>30600</v>
      </c>
      <c r="R261" s="15" t="s">
        <v>50</v>
      </c>
      <c r="S261" s="15" t="s">
        <v>26</v>
      </c>
      <c r="T261" s="15" t="s">
        <v>27</v>
      </c>
    </row>
    <row r="262" spans="1:20" s="12" customFormat="1" ht="30" customHeight="1" thickTop="1" thickBot="1" x14ac:dyDescent="0.4">
      <c r="A262" s="7">
        <v>1261</v>
      </c>
      <c r="B262" s="8">
        <v>45918</v>
      </c>
      <c r="C262" s="14" t="s">
        <v>28</v>
      </c>
      <c r="D262" s="14" t="s">
        <v>18</v>
      </c>
      <c r="E262" s="14" t="s">
        <v>33</v>
      </c>
      <c r="F262" s="14" t="s">
        <v>32</v>
      </c>
      <c r="G262" s="7">
        <v>7</v>
      </c>
      <c r="H262" s="7">
        <v>6000</v>
      </c>
      <c r="I262" s="9">
        <v>5</v>
      </c>
      <c r="J262" s="10">
        <f>SALCE[[#This Row],[After_Discount]]*SALCE[[#This Row],[Tax_%]]/100</f>
        <v>55.860000000000007</v>
      </c>
      <c r="K262" s="11">
        <v>0.14000000000000001</v>
      </c>
      <c r="L262" s="10">
        <f>SALCE[[#This Row],[Quantity]]*SALCE[[#This Row],[Unit_Price]]</f>
        <v>42000</v>
      </c>
      <c r="M262" s="10">
        <f>SALCE[[#This Row],[Gross_Sales]]*SALCE[[#This Row],[Discount_%]]/100</f>
        <v>2100</v>
      </c>
      <c r="N262" s="10">
        <f>SALCE[[#This Row],[After_Discount]]+SALCE[[#This Row],[Tax_Value]]</f>
        <v>39955.86</v>
      </c>
      <c r="O262" s="10">
        <f>SALCE[[#This Row],[Gross_Sales]]*70%</f>
        <v>29399.999999999996</v>
      </c>
      <c r="P262" s="10">
        <f>SALCE[[#This Row],[Net_Sales]]-SALCE[[#This Row],[Cost_Price]]</f>
        <v>10555.860000000004</v>
      </c>
      <c r="Q262" s="10">
        <f>SALCE[[#This Row],[Gross_Sales]]-SALCE[[#This Row],[Discount_Value]]</f>
        <v>39900</v>
      </c>
      <c r="R262" s="15" t="s">
        <v>60</v>
      </c>
      <c r="S262" s="15" t="s">
        <v>37</v>
      </c>
      <c r="T262" s="15" t="s">
        <v>22</v>
      </c>
    </row>
    <row r="263" spans="1:20" s="12" customFormat="1" ht="30" customHeight="1" thickTop="1" thickBot="1" x14ac:dyDescent="0.4">
      <c r="A263" s="7">
        <v>1262</v>
      </c>
      <c r="B263" s="8">
        <v>45919</v>
      </c>
      <c r="C263" s="14" t="s">
        <v>23</v>
      </c>
      <c r="D263" s="14" t="s">
        <v>24</v>
      </c>
      <c r="E263" s="14" t="s">
        <v>40</v>
      </c>
      <c r="F263" s="14" t="s">
        <v>20</v>
      </c>
      <c r="G263" s="7">
        <v>5</v>
      </c>
      <c r="H263" s="7">
        <v>800</v>
      </c>
      <c r="I263" s="9">
        <v>5</v>
      </c>
      <c r="J263" s="10">
        <f>SALCE[[#This Row],[After_Discount]]*SALCE[[#This Row],[Tax_%]]/100</f>
        <v>5.32</v>
      </c>
      <c r="K263" s="11">
        <v>0.14000000000000001</v>
      </c>
      <c r="L263" s="10">
        <f>SALCE[[#This Row],[Quantity]]*SALCE[[#This Row],[Unit_Price]]</f>
        <v>4000</v>
      </c>
      <c r="M263" s="10">
        <f>SALCE[[#This Row],[Gross_Sales]]*SALCE[[#This Row],[Discount_%]]/100</f>
        <v>200</v>
      </c>
      <c r="N263" s="10">
        <f>SALCE[[#This Row],[After_Discount]]+SALCE[[#This Row],[Tax_Value]]</f>
        <v>3805.32</v>
      </c>
      <c r="O263" s="10">
        <f>SALCE[[#This Row],[Gross_Sales]]*70%</f>
        <v>2800</v>
      </c>
      <c r="P263" s="10">
        <f>SALCE[[#This Row],[Net_Sales]]-SALCE[[#This Row],[Cost_Price]]</f>
        <v>1005.3200000000002</v>
      </c>
      <c r="Q263" s="10">
        <f>SALCE[[#This Row],[Gross_Sales]]-SALCE[[#This Row],[Discount_Value]]</f>
        <v>3800</v>
      </c>
      <c r="R263" s="15" t="s">
        <v>62</v>
      </c>
      <c r="S263" s="15" t="s">
        <v>21</v>
      </c>
      <c r="T263" s="15" t="s">
        <v>27</v>
      </c>
    </row>
    <row r="264" spans="1:20" s="12" customFormat="1" ht="30" customHeight="1" thickTop="1" thickBot="1" x14ac:dyDescent="0.4">
      <c r="A264" s="7">
        <v>1263</v>
      </c>
      <c r="B264" s="8">
        <v>45920</v>
      </c>
      <c r="C264" s="14" t="s">
        <v>35</v>
      </c>
      <c r="D264" s="14" t="s">
        <v>36</v>
      </c>
      <c r="E264" s="14" t="s">
        <v>40</v>
      </c>
      <c r="F264" s="14" t="s">
        <v>20</v>
      </c>
      <c r="G264" s="7">
        <v>7</v>
      </c>
      <c r="H264" s="7">
        <v>800</v>
      </c>
      <c r="I264" s="9">
        <v>5</v>
      </c>
      <c r="J264" s="10">
        <f>SALCE[[#This Row],[After_Discount]]*SALCE[[#This Row],[Tax_%]]/100</f>
        <v>7.4480000000000004</v>
      </c>
      <c r="K264" s="11">
        <v>0.14000000000000001</v>
      </c>
      <c r="L264" s="10">
        <f>SALCE[[#This Row],[Quantity]]*SALCE[[#This Row],[Unit_Price]]</f>
        <v>5600</v>
      </c>
      <c r="M264" s="10">
        <f>SALCE[[#This Row],[Gross_Sales]]*SALCE[[#This Row],[Discount_%]]/100</f>
        <v>280</v>
      </c>
      <c r="N264" s="10">
        <f>SALCE[[#This Row],[After_Discount]]+SALCE[[#This Row],[Tax_Value]]</f>
        <v>5327.4480000000003</v>
      </c>
      <c r="O264" s="10">
        <f>SALCE[[#This Row],[Gross_Sales]]*70%</f>
        <v>3919.9999999999995</v>
      </c>
      <c r="P264" s="10">
        <f>SALCE[[#This Row],[Net_Sales]]-SALCE[[#This Row],[Cost_Price]]</f>
        <v>1407.4480000000008</v>
      </c>
      <c r="Q264" s="10">
        <f>SALCE[[#This Row],[Gross_Sales]]-SALCE[[#This Row],[Discount_Value]]</f>
        <v>5320</v>
      </c>
      <c r="R264" s="15" t="s">
        <v>53</v>
      </c>
      <c r="S264" s="15" t="s">
        <v>26</v>
      </c>
      <c r="T264" s="15" t="s">
        <v>22</v>
      </c>
    </row>
    <row r="265" spans="1:20" s="12" customFormat="1" ht="30" customHeight="1" thickTop="1" thickBot="1" x14ac:dyDescent="0.4">
      <c r="A265" s="7">
        <v>1264</v>
      </c>
      <c r="B265" s="8">
        <v>45921</v>
      </c>
      <c r="C265" s="14" t="s">
        <v>39</v>
      </c>
      <c r="D265" s="14" t="s">
        <v>38</v>
      </c>
      <c r="E265" s="14" t="s">
        <v>40</v>
      </c>
      <c r="F265" s="14" t="s">
        <v>20</v>
      </c>
      <c r="G265" s="7">
        <v>5</v>
      </c>
      <c r="H265" s="7">
        <v>800</v>
      </c>
      <c r="I265" s="9">
        <v>5</v>
      </c>
      <c r="J265" s="10">
        <f>SALCE[[#This Row],[After_Discount]]*SALCE[[#This Row],[Tax_%]]/100</f>
        <v>5.32</v>
      </c>
      <c r="K265" s="11">
        <v>0.14000000000000001</v>
      </c>
      <c r="L265" s="10">
        <f>SALCE[[#This Row],[Quantity]]*SALCE[[#This Row],[Unit_Price]]</f>
        <v>4000</v>
      </c>
      <c r="M265" s="10">
        <f>SALCE[[#This Row],[Gross_Sales]]*SALCE[[#This Row],[Discount_%]]/100</f>
        <v>200</v>
      </c>
      <c r="N265" s="10">
        <f>SALCE[[#This Row],[After_Discount]]+SALCE[[#This Row],[Tax_Value]]</f>
        <v>3805.32</v>
      </c>
      <c r="O265" s="10">
        <f>SALCE[[#This Row],[Gross_Sales]]*70%</f>
        <v>2800</v>
      </c>
      <c r="P265" s="10">
        <f>SALCE[[#This Row],[Net_Sales]]-SALCE[[#This Row],[Cost_Price]]</f>
        <v>1005.3200000000002</v>
      </c>
      <c r="Q265" s="10">
        <f>SALCE[[#This Row],[Gross_Sales]]-SALCE[[#This Row],[Discount_Value]]</f>
        <v>3800</v>
      </c>
      <c r="R265" s="15" t="s">
        <v>51</v>
      </c>
      <c r="S265" s="15" t="s">
        <v>26</v>
      </c>
      <c r="T265" s="15" t="s">
        <v>27</v>
      </c>
    </row>
    <row r="266" spans="1:20" s="12" customFormat="1" ht="30" customHeight="1" thickTop="1" thickBot="1" x14ac:dyDescent="0.4">
      <c r="A266" s="7">
        <v>1265</v>
      </c>
      <c r="B266" s="8">
        <v>45922</v>
      </c>
      <c r="C266" s="14" t="s">
        <v>28</v>
      </c>
      <c r="D266" s="14" t="s">
        <v>29</v>
      </c>
      <c r="E266" s="14" t="s">
        <v>33</v>
      </c>
      <c r="F266" s="14" t="s">
        <v>32</v>
      </c>
      <c r="G266" s="7">
        <v>7</v>
      </c>
      <c r="H266" s="7">
        <v>6000</v>
      </c>
      <c r="I266" s="9">
        <v>0</v>
      </c>
      <c r="J266" s="10">
        <f>SALCE[[#This Row],[After_Discount]]*SALCE[[#This Row],[Tax_%]]/100</f>
        <v>58.800000000000011</v>
      </c>
      <c r="K266" s="11">
        <v>0.14000000000000001</v>
      </c>
      <c r="L266" s="10">
        <f>SALCE[[#This Row],[Quantity]]*SALCE[[#This Row],[Unit_Price]]</f>
        <v>42000</v>
      </c>
      <c r="M266" s="10">
        <f>SALCE[[#This Row],[Gross_Sales]]*SALCE[[#This Row],[Discount_%]]/100</f>
        <v>0</v>
      </c>
      <c r="N266" s="10">
        <f>SALCE[[#This Row],[After_Discount]]+SALCE[[#This Row],[Tax_Value]]</f>
        <v>42058.8</v>
      </c>
      <c r="O266" s="10">
        <f>SALCE[[#This Row],[Gross_Sales]]*70%</f>
        <v>29399.999999999996</v>
      </c>
      <c r="P266" s="10">
        <f>SALCE[[#This Row],[Net_Sales]]-SALCE[[#This Row],[Cost_Price]]</f>
        <v>12658.800000000007</v>
      </c>
      <c r="Q266" s="10">
        <f>SALCE[[#This Row],[Gross_Sales]]-SALCE[[#This Row],[Discount_Value]]</f>
        <v>42000</v>
      </c>
      <c r="R266" s="15" t="s">
        <v>53</v>
      </c>
      <c r="S266" s="15" t="s">
        <v>21</v>
      </c>
      <c r="T266" s="15" t="s">
        <v>27</v>
      </c>
    </row>
    <row r="267" spans="1:20" s="12" customFormat="1" ht="30" customHeight="1" thickTop="1" thickBot="1" x14ac:dyDescent="0.4">
      <c r="A267" s="7">
        <v>1266</v>
      </c>
      <c r="B267" s="8">
        <v>45923</v>
      </c>
      <c r="C267" s="14" t="s">
        <v>39</v>
      </c>
      <c r="D267" s="14" t="s">
        <v>29</v>
      </c>
      <c r="E267" s="14" t="s">
        <v>31</v>
      </c>
      <c r="F267" s="14" t="s">
        <v>32</v>
      </c>
      <c r="G267" s="7">
        <v>9</v>
      </c>
      <c r="H267" s="7">
        <v>15000</v>
      </c>
      <c r="I267" s="9">
        <v>15</v>
      </c>
      <c r="J267" s="10">
        <f>SALCE[[#This Row],[After_Discount]]*SALCE[[#This Row],[Tax_%]]/100</f>
        <v>160.65</v>
      </c>
      <c r="K267" s="11">
        <v>0.14000000000000001</v>
      </c>
      <c r="L267" s="10">
        <f>SALCE[[#This Row],[Quantity]]*SALCE[[#This Row],[Unit_Price]]</f>
        <v>135000</v>
      </c>
      <c r="M267" s="10">
        <f>SALCE[[#This Row],[Gross_Sales]]*SALCE[[#This Row],[Discount_%]]/100</f>
        <v>20250</v>
      </c>
      <c r="N267" s="10">
        <f>SALCE[[#This Row],[After_Discount]]+SALCE[[#This Row],[Tax_Value]]</f>
        <v>114910.65</v>
      </c>
      <c r="O267" s="10">
        <f>SALCE[[#This Row],[Gross_Sales]]*70%</f>
        <v>94500</v>
      </c>
      <c r="P267" s="10">
        <f>SALCE[[#This Row],[Net_Sales]]-SALCE[[#This Row],[Cost_Price]]</f>
        <v>20410.649999999994</v>
      </c>
      <c r="Q267" s="10">
        <f>SALCE[[#This Row],[Gross_Sales]]-SALCE[[#This Row],[Discount_Value]]</f>
        <v>114750</v>
      </c>
      <c r="R267" s="15" t="s">
        <v>51</v>
      </c>
      <c r="S267" s="15" t="s">
        <v>21</v>
      </c>
      <c r="T267" s="15" t="s">
        <v>27</v>
      </c>
    </row>
    <row r="268" spans="1:20" s="12" customFormat="1" ht="30" customHeight="1" thickTop="1" thickBot="1" x14ac:dyDescent="0.4">
      <c r="A268" s="7">
        <v>1267</v>
      </c>
      <c r="B268" s="8">
        <v>45924</v>
      </c>
      <c r="C268" s="14" t="s">
        <v>30</v>
      </c>
      <c r="D268" s="14" t="s">
        <v>41</v>
      </c>
      <c r="E268" s="14" t="s">
        <v>40</v>
      </c>
      <c r="F268" s="14" t="s">
        <v>20</v>
      </c>
      <c r="G268" s="7">
        <v>3</v>
      </c>
      <c r="H268" s="7">
        <v>800</v>
      </c>
      <c r="I268" s="9">
        <v>0</v>
      </c>
      <c r="J268" s="10">
        <f>SALCE[[#This Row],[After_Discount]]*SALCE[[#This Row],[Tax_%]]/100</f>
        <v>3.3600000000000008</v>
      </c>
      <c r="K268" s="11">
        <v>0.14000000000000001</v>
      </c>
      <c r="L268" s="10">
        <f>SALCE[[#This Row],[Quantity]]*SALCE[[#This Row],[Unit_Price]]</f>
        <v>2400</v>
      </c>
      <c r="M268" s="10">
        <f>SALCE[[#This Row],[Gross_Sales]]*SALCE[[#This Row],[Discount_%]]/100</f>
        <v>0</v>
      </c>
      <c r="N268" s="10">
        <f>SALCE[[#This Row],[After_Discount]]+SALCE[[#This Row],[Tax_Value]]</f>
        <v>2403.36</v>
      </c>
      <c r="O268" s="10">
        <f>SALCE[[#This Row],[Gross_Sales]]*70%</f>
        <v>1680</v>
      </c>
      <c r="P268" s="10">
        <f>SALCE[[#This Row],[Net_Sales]]-SALCE[[#This Row],[Cost_Price]]</f>
        <v>723.36000000000013</v>
      </c>
      <c r="Q268" s="10">
        <f>SALCE[[#This Row],[Gross_Sales]]-SALCE[[#This Row],[Discount_Value]]</f>
        <v>2400</v>
      </c>
      <c r="R268" s="15" t="s">
        <v>51</v>
      </c>
      <c r="S268" s="15" t="s">
        <v>37</v>
      </c>
      <c r="T268" s="15" t="s">
        <v>22</v>
      </c>
    </row>
    <row r="269" spans="1:20" s="12" customFormat="1" ht="30" customHeight="1" thickTop="1" thickBot="1" x14ac:dyDescent="0.4">
      <c r="A269" s="7">
        <v>1268</v>
      </c>
      <c r="B269" s="8">
        <v>45925</v>
      </c>
      <c r="C269" s="14" t="s">
        <v>39</v>
      </c>
      <c r="D269" s="14" t="s">
        <v>29</v>
      </c>
      <c r="E269" s="14" t="s">
        <v>34</v>
      </c>
      <c r="F269" s="14" t="s">
        <v>32</v>
      </c>
      <c r="G269" s="7">
        <v>9</v>
      </c>
      <c r="H269" s="7">
        <v>4000</v>
      </c>
      <c r="I269" s="9">
        <v>15</v>
      </c>
      <c r="J269" s="10">
        <f>SALCE[[#This Row],[After_Discount]]*SALCE[[#This Row],[Tax_%]]/100</f>
        <v>42.84</v>
      </c>
      <c r="K269" s="11">
        <v>0.14000000000000001</v>
      </c>
      <c r="L269" s="10">
        <f>SALCE[[#This Row],[Quantity]]*SALCE[[#This Row],[Unit_Price]]</f>
        <v>36000</v>
      </c>
      <c r="M269" s="10">
        <f>SALCE[[#This Row],[Gross_Sales]]*SALCE[[#This Row],[Discount_%]]/100</f>
        <v>5400</v>
      </c>
      <c r="N269" s="10">
        <f>SALCE[[#This Row],[After_Discount]]+SALCE[[#This Row],[Tax_Value]]</f>
        <v>30642.84</v>
      </c>
      <c r="O269" s="10">
        <f>SALCE[[#This Row],[Gross_Sales]]*70%</f>
        <v>25200</v>
      </c>
      <c r="P269" s="10">
        <f>SALCE[[#This Row],[Net_Sales]]-SALCE[[#This Row],[Cost_Price]]</f>
        <v>5442.84</v>
      </c>
      <c r="Q269" s="10">
        <f>SALCE[[#This Row],[Gross_Sales]]-SALCE[[#This Row],[Discount_Value]]</f>
        <v>30600</v>
      </c>
      <c r="R269" s="15" t="s">
        <v>58</v>
      </c>
      <c r="S269" s="15" t="s">
        <v>37</v>
      </c>
      <c r="T269" s="15" t="s">
        <v>22</v>
      </c>
    </row>
    <row r="270" spans="1:20" s="12" customFormat="1" ht="30" customHeight="1" thickTop="1" thickBot="1" x14ac:dyDescent="0.4">
      <c r="A270" s="7">
        <v>1269</v>
      </c>
      <c r="B270" s="8">
        <v>45926</v>
      </c>
      <c r="C270" s="14" t="s">
        <v>23</v>
      </c>
      <c r="D270" s="14" t="s">
        <v>29</v>
      </c>
      <c r="E270" s="14" t="s">
        <v>31</v>
      </c>
      <c r="F270" s="14" t="s">
        <v>32</v>
      </c>
      <c r="G270" s="7">
        <v>1</v>
      </c>
      <c r="H270" s="7">
        <v>15000</v>
      </c>
      <c r="I270" s="9">
        <v>0</v>
      </c>
      <c r="J270" s="10">
        <f>SALCE[[#This Row],[After_Discount]]*SALCE[[#This Row],[Tax_%]]/100</f>
        <v>21</v>
      </c>
      <c r="K270" s="11">
        <v>0.14000000000000001</v>
      </c>
      <c r="L270" s="10">
        <f>SALCE[[#This Row],[Quantity]]*SALCE[[#This Row],[Unit_Price]]</f>
        <v>15000</v>
      </c>
      <c r="M270" s="10">
        <f>SALCE[[#This Row],[Gross_Sales]]*SALCE[[#This Row],[Discount_%]]/100</f>
        <v>0</v>
      </c>
      <c r="N270" s="10">
        <f>SALCE[[#This Row],[After_Discount]]+SALCE[[#This Row],[Tax_Value]]</f>
        <v>15021</v>
      </c>
      <c r="O270" s="10">
        <f>SALCE[[#This Row],[Gross_Sales]]*70%</f>
        <v>10500</v>
      </c>
      <c r="P270" s="10">
        <f>SALCE[[#This Row],[Net_Sales]]-SALCE[[#This Row],[Cost_Price]]</f>
        <v>4521</v>
      </c>
      <c r="Q270" s="10">
        <f>SALCE[[#This Row],[Gross_Sales]]-SALCE[[#This Row],[Discount_Value]]</f>
        <v>15000</v>
      </c>
      <c r="R270" s="15" t="s">
        <v>47</v>
      </c>
      <c r="S270" s="15" t="s">
        <v>37</v>
      </c>
      <c r="T270" s="15" t="s">
        <v>27</v>
      </c>
    </row>
    <row r="271" spans="1:20" s="12" customFormat="1" ht="30" customHeight="1" thickTop="1" thickBot="1" x14ac:dyDescent="0.4">
      <c r="A271" s="7">
        <v>1270</v>
      </c>
      <c r="B271" s="8">
        <v>45927</v>
      </c>
      <c r="C271" s="14" t="s">
        <v>30</v>
      </c>
      <c r="D271" s="14" t="s">
        <v>38</v>
      </c>
      <c r="E271" s="14" t="s">
        <v>40</v>
      </c>
      <c r="F271" s="14" t="s">
        <v>20</v>
      </c>
      <c r="G271" s="7">
        <v>6</v>
      </c>
      <c r="H271" s="7">
        <v>800</v>
      </c>
      <c r="I271" s="9">
        <v>10</v>
      </c>
      <c r="J271" s="10">
        <f>SALCE[[#This Row],[After_Discount]]*SALCE[[#This Row],[Tax_%]]/100</f>
        <v>6.0480000000000009</v>
      </c>
      <c r="K271" s="11">
        <v>0.14000000000000001</v>
      </c>
      <c r="L271" s="10">
        <f>SALCE[[#This Row],[Quantity]]*SALCE[[#This Row],[Unit_Price]]</f>
        <v>4800</v>
      </c>
      <c r="M271" s="10">
        <f>SALCE[[#This Row],[Gross_Sales]]*SALCE[[#This Row],[Discount_%]]/100</f>
        <v>480</v>
      </c>
      <c r="N271" s="10">
        <f>SALCE[[#This Row],[After_Discount]]+SALCE[[#This Row],[Tax_Value]]</f>
        <v>4326.0479999999998</v>
      </c>
      <c r="O271" s="10">
        <f>SALCE[[#This Row],[Gross_Sales]]*70%</f>
        <v>3360</v>
      </c>
      <c r="P271" s="10">
        <f>SALCE[[#This Row],[Net_Sales]]-SALCE[[#This Row],[Cost_Price]]</f>
        <v>966.04799999999977</v>
      </c>
      <c r="Q271" s="10">
        <f>SALCE[[#This Row],[Gross_Sales]]-SALCE[[#This Row],[Discount_Value]]</f>
        <v>4320</v>
      </c>
      <c r="R271" s="15" t="s">
        <v>53</v>
      </c>
      <c r="S271" s="15" t="s">
        <v>37</v>
      </c>
      <c r="T271" s="15" t="s">
        <v>27</v>
      </c>
    </row>
    <row r="272" spans="1:20" s="12" customFormat="1" ht="30" customHeight="1" thickTop="1" thickBot="1" x14ac:dyDescent="0.4">
      <c r="A272" s="7">
        <v>1271</v>
      </c>
      <c r="B272" s="8">
        <v>45928</v>
      </c>
      <c r="C272" s="14" t="s">
        <v>23</v>
      </c>
      <c r="D272" s="14" t="s">
        <v>18</v>
      </c>
      <c r="E272" s="14" t="s">
        <v>40</v>
      </c>
      <c r="F272" s="14" t="s">
        <v>20</v>
      </c>
      <c r="G272" s="7">
        <v>1</v>
      </c>
      <c r="H272" s="7">
        <v>800</v>
      </c>
      <c r="I272" s="9">
        <v>5</v>
      </c>
      <c r="J272" s="10">
        <f>SALCE[[#This Row],[After_Discount]]*SALCE[[#This Row],[Tax_%]]/100</f>
        <v>1.0640000000000001</v>
      </c>
      <c r="K272" s="11">
        <v>0.14000000000000001</v>
      </c>
      <c r="L272" s="10">
        <f>SALCE[[#This Row],[Quantity]]*SALCE[[#This Row],[Unit_Price]]</f>
        <v>800</v>
      </c>
      <c r="M272" s="10">
        <f>SALCE[[#This Row],[Gross_Sales]]*SALCE[[#This Row],[Discount_%]]/100</f>
        <v>40</v>
      </c>
      <c r="N272" s="10">
        <f>SALCE[[#This Row],[After_Discount]]+SALCE[[#This Row],[Tax_Value]]</f>
        <v>761.06399999999996</v>
      </c>
      <c r="O272" s="10">
        <f>SALCE[[#This Row],[Gross_Sales]]*70%</f>
        <v>560</v>
      </c>
      <c r="P272" s="10">
        <f>SALCE[[#This Row],[Net_Sales]]-SALCE[[#This Row],[Cost_Price]]</f>
        <v>201.06399999999996</v>
      </c>
      <c r="Q272" s="10">
        <f>SALCE[[#This Row],[Gross_Sales]]-SALCE[[#This Row],[Discount_Value]]</f>
        <v>760</v>
      </c>
      <c r="R272" s="15" t="s">
        <v>54</v>
      </c>
      <c r="S272" s="15" t="s">
        <v>21</v>
      </c>
      <c r="T272" s="15" t="s">
        <v>22</v>
      </c>
    </row>
    <row r="273" spans="1:20" s="12" customFormat="1" ht="30" customHeight="1" thickTop="1" thickBot="1" x14ac:dyDescent="0.4">
      <c r="A273" s="7">
        <v>1272</v>
      </c>
      <c r="B273" s="8">
        <v>45929</v>
      </c>
      <c r="C273" s="14" t="s">
        <v>39</v>
      </c>
      <c r="D273" s="14" t="s">
        <v>29</v>
      </c>
      <c r="E273" s="14" t="s">
        <v>40</v>
      </c>
      <c r="F273" s="14" t="s">
        <v>20</v>
      </c>
      <c r="G273" s="7">
        <v>8</v>
      </c>
      <c r="H273" s="7">
        <v>800</v>
      </c>
      <c r="I273" s="9">
        <v>0</v>
      </c>
      <c r="J273" s="10">
        <f>SALCE[[#This Row],[After_Discount]]*SALCE[[#This Row],[Tax_%]]/100</f>
        <v>8.9600000000000009</v>
      </c>
      <c r="K273" s="11">
        <v>0.14000000000000001</v>
      </c>
      <c r="L273" s="10">
        <f>SALCE[[#This Row],[Quantity]]*SALCE[[#This Row],[Unit_Price]]</f>
        <v>6400</v>
      </c>
      <c r="M273" s="10">
        <f>SALCE[[#This Row],[Gross_Sales]]*SALCE[[#This Row],[Discount_%]]/100</f>
        <v>0</v>
      </c>
      <c r="N273" s="10">
        <f>SALCE[[#This Row],[After_Discount]]+SALCE[[#This Row],[Tax_Value]]</f>
        <v>6408.96</v>
      </c>
      <c r="O273" s="10">
        <f>SALCE[[#This Row],[Gross_Sales]]*70%</f>
        <v>4480</v>
      </c>
      <c r="P273" s="10">
        <f>SALCE[[#This Row],[Net_Sales]]-SALCE[[#This Row],[Cost_Price]]</f>
        <v>1928.96</v>
      </c>
      <c r="Q273" s="10">
        <f>SALCE[[#This Row],[Gross_Sales]]-SALCE[[#This Row],[Discount_Value]]</f>
        <v>6400</v>
      </c>
      <c r="R273" s="15" t="s">
        <v>59</v>
      </c>
      <c r="S273" s="15" t="s">
        <v>37</v>
      </c>
      <c r="T273" s="15" t="s">
        <v>22</v>
      </c>
    </row>
    <row r="274" spans="1:20" s="12" customFormat="1" ht="30" customHeight="1" thickTop="1" thickBot="1" x14ac:dyDescent="0.4">
      <c r="A274" s="7">
        <v>1273</v>
      </c>
      <c r="B274" s="8">
        <v>45930</v>
      </c>
      <c r="C274" s="14" t="s">
        <v>17</v>
      </c>
      <c r="D274" s="14" t="s">
        <v>29</v>
      </c>
      <c r="E274" s="14" t="s">
        <v>31</v>
      </c>
      <c r="F274" s="14" t="s">
        <v>32</v>
      </c>
      <c r="G274" s="7">
        <v>8</v>
      </c>
      <c r="H274" s="7">
        <v>15000</v>
      </c>
      <c r="I274" s="9">
        <v>5</v>
      </c>
      <c r="J274" s="10">
        <f>SALCE[[#This Row],[After_Discount]]*SALCE[[#This Row],[Tax_%]]/100</f>
        <v>159.60000000000002</v>
      </c>
      <c r="K274" s="11">
        <v>0.14000000000000001</v>
      </c>
      <c r="L274" s="10">
        <f>SALCE[[#This Row],[Quantity]]*SALCE[[#This Row],[Unit_Price]]</f>
        <v>120000</v>
      </c>
      <c r="M274" s="10">
        <f>SALCE[[#This Row],[Gross_Sales]]*SALCE[[#This Row],[Discount_%]]/100</f>
        <v>6000</v>
      </c>
      <c r="N274" s="10">
        <f>SALCE[[#This Row],[After_Discount]]+SALCE[[#This Row],[Tax_Value]]</f>
        <v>114159.6</v>
      </c>
      <c r="O274" s="10">
        <f>SALCE[[#This Row],[Gross_Sales]]*70%</f>
        <v>84000</v>
      </c>
      <c r="P274" s="10">
        <f>SALCE[[#This Row],[Net_Sales]]-SALCE[[#This Row],[Cost_Price]]</f>
        <v>30159.600000000006</v>
      </c>
      <c r="Q274" s="10">
        <f>SALCE[[#This Row],[Gross_Sales]]-SALCE[[#This Row],[Discount_Value]]</f>
        <v>114000</v>
      </c>
      <c r="R274" s="15" t="s">
        <v>56</v>
      </c>
      <c r="S274" s="15" t="s">
        <v>21</v>
      </c>
      <c r="T274" s="15" t="s">
        <v>22</v>
      </c>
    </row>
    <row r="275" spans="1:20" s="12" customFormat="1" ht="30" customHeight="1" thickTop="1" thickBot="1" x14ac:dyDescent="0.4">
      <c r="A275" s="7">
        <v>1274</v>
      </c>
      <c r="B275" s="8">
        <v>45931</v>
      </c>
      <c r="C275" s="14" t="s">
        <v>23</v>
      </c>
      <c r="D275" s="14" t="s">
        <v>41</v>
      </c>
      <c r="E275" s="14" t="s">
        <v>33</v>
      </c>
      <c r="F275" s="14" t="s">
        <v>32</v>
      </c>
      <c r="G275" s="7">
        <v>1</v>
      </c>
      <c r="H275" s="7">
        <v>6000</v>
      </c>
      <c r="I275" s="9">
        <v>10</v>
      </c>
      <c r="J275" s="10">
        <f>SALCE[[#This Row],[After_Discount]]*SALCE[[#This Row],[Tax_%]]/100</f>
        <v>7.5600000000000014</v>
      </c>
      <c r="K275" s="11">
        <v>0.14000000000000001</v>
      </c>
      <c r="L275" s="10">
        <f>SALCE[[#This Row],[Quantity]]*SALCE[[#This Row],[Unit_Price]]</f>
        <v>6000</v>
      </c>
      <c r="M275" s="10">
        <f>SALCE[[#This Row],[Gross_Sales]]*SALCE[[#This Row],[Discount_%]]/100</f>
        <v>600</v>
      </c>
      <c r="N275" s="10">
        <f>SALCE[[#This Row],[After_Discount]]+SALCE[[#This Row],[Tax_Value]]</f>
        <v>5407.56</v>
      </c>
      <c r="O275" s="10">
        <f>SALCE[[#This Row],[Gross_Sales]]*70%</f>
        <v>4200</v>
      </c>
      <c r="P275" s="10">
        <f>SALCE[[#This Row],[Net_Sales]]-SALCE[[#This Row],[Cost_Price]]</f>
        <v>1207.5600000000004</v>
      </c>
      <c r="Q275" s="10">
        <f>SALCE[[#This Row],[Gross_Sales]]-SALCE[[#This Row],[Discount_Value]]</f>
        <v>5400</v>
      </c>
      <c r="R275" s="15" t="s">
        <v>60</v>
      </c>
      <c r="S275" s="15" t="s">
        <v>26</v>
      </c>
      <c r="T275" s="15" t="s">
        <v>22</v>
      </c>
    </row>
    <row r="276" spans="1:20" s="12" customFormat="1" ht="30" customHeight="1" thickTop="1" thickBot="1" x14ac:dyDescent="0.4">
      <c r="A276" s="7">
        <v>1275</v>
      </c>
      <c r="B276" s="8">
        <v>45932</v>
      </c>
      <c r="C276" s="14" t="s">
        <v>39</v>
      </c>
      <c r="D276" s="14" t="s">
        <v>24</v>
      </c>
      <c r="E276" s="14" t="s">
        <v>40</v>
      </c>
      <c r="F276" s="14" t="s">
        <v>20</v>
      </c>
      <c r="G276" s="7">
        <v>3</v>
      </c>
      <c r="H276" s="7">
        <v>800</v>
      </c>
      <c r="I276" s="9">
        <v>10</v>
      </c>
      <c r="J276" s="10">
        <f>SALCE[[#This Row],[After_Discount]]*SALCE[[#This Row],[Tax_%]]/100</f>
        <v>3.0240000000000005</v>
      </c>
      <c r="K276" s="11">
        <v>0.14000000000000001</v>
      </c>
      <c r="L276" s="10">
        <f>SALCE[[#This Row],[Quantity]]*SALCE[[#This Row],[Unit_Price]]</f>
        <v>2400</v>
      </c>
      <c r="M276" s="10">
        <f>SALCE[[#This Row],[Gross_Sales]]*SALCE[[#This Row],[Discount_%]]/100</f>
        <v>240</v>
      </c>
      <c r="N276" s="10">
        <f>SALCE[[#This Row],[After_Discount]]+SALCE[[#This Row],[Tax_Value]]</f>
        <v>2163.0239999999999</v>
      </c>
      <c r="O276" s="10">
        <f>SALCE[[#This Row],[Gross_Sales]]*70%</f>
        <v>1680</v>
      </c>
      <c r="P276" s="10">
        <f>SALCE[[#This Row],[Net_Sales]]-SALCE[[#This Row],[Cost_Price]]</f>
        <v>483.02399999999989</v>
      </c>
      <c r="Q276" s="10">
        <f>SALCE[[#This Row],[Gross_Sales]]-SALCE[[#This Row],[Discount_Value]]</f>
        <v>2160</v>
      </c>
      <c r="R276" s="15" t="s">
        <v>56</v>
      </c>
      <c r="S276" s="15" t="s">
        <v>26</v>
      </c>
      <c r="T276" s="15" t="s">
        <v>27</v>
      </c>
    </row>
    <row r="277" spans="1:20" s="12" customFormat="1" ht="30" customHeight="1" thickTop="1" thickBot="1" x14ac:dyDescent="0.4">
      <c r="A277" s="7">
        <v>1276</v>
      </c>
      <c r="B277" s="8">
        <v>45933</v>
      </c>
      <c r="C277" s="14" t="s">
        <v>28</v>
      </c>
      <c r="D277" s="14" t="s">
        <v>24</v>
      </c>
      <c r="E277" s="14" t="s">
        <v>40</v>
      </c>
      <c r="F277" s="14" t="s">
        <v>20</v>
      </c>
      <c r="G277" s="7">
        <v>3</v>
      </c>
      <c r="H277" s="7">
        <v>800</v>
      </c>
      <c r="I277" s="9">
        <v>0</v>
      </c>
      <c r="J277" s="10">
        <f>SALCE[[#This Row],[After_Discount]]*SALCE[[#This Row],[Tax_%]]/100</f>
        <v>3.3600000000000008</v>
      </c>
      <c r="K277" s="11">
        <v>0.14000000000000001</v>
      </c>
      <c r="L277" s="10">
        <f>SALCE[[#This Row],[Quantity]]*SALCE[[#This Row],[Unit_Price]]</f>
        <v>2400</v>
      </c>
      <c r="M277" s="10">
        <f>SALCE[[#This Row],[Gross_Sales]]*SALCE[[#This Row],[Discount_%]]/100</f>
        <v>0</v>
      </c>
      <c r="N277" s="10">
        <f>SALCE[[#This Row],[After_Discount]]+SALCE[[#This Row],[Tax_Value]]</f>
        <v>2403.36</v>
      </c>
      <c r="O277" s="10">
        <f>SALCE[[#This Row],[Gross_Sales]]*70%</f>
        <v>1680</v>
      </c>
      <c r="P277" s="10">
        <f>SALCE[[#This Row],[Net_Sales]]-SALCE[[#This Row],[Cost_Price]]</f>
        <v>723.36000000000013</v>
      </c>
      <c r="Q277" s="10">
        <f>SALCE[[#This Row],[Gross_Sales]]-SALCE[[#This Row],[Discount_Value]]</f>
        <v>2400</v>
      </c>
      <c r="R277" s="15" t="s">
        <v>49</v>
      </c>
      <c r="S277" s="15" t="s">
        <v>26</v>
      </c>
      <c r="T277" s="15" t="s">
        <v>22</v>
      </c>
    </row>
    <row r="278" spans="1:20" s="12" customFormat="1" ht="30" customHeight="1" thickTop="1" thickBot="1" x14ac:dyDescent="0.4">
      <c r="A278" s="7">
        <v>1277</v>
      </c>
      <c r="B278" s="8">
        <v>45934</v>
      </c>
      <c r="C278" s="14" t="s">
        <v>35</v>
      </c>
      <c r="D278" s="14" t="s">
        <v>36</v>
      </c>
      <c r="E278" s="14" t="s">
        <v>19</v>
      </c>
      <c r="F278" s="14" t="s">
        <v>20</v>
      </c>
      <c r="G278" s="7">
        <v>1</v>
      </c>
      <c r="H278" s="7">
        <v>300</v>
      </c>
      <c r="I278" s="9">
        <v>0</v>
      </c>
      <c r="J278" s="10">
        <f>SALCE[[#This Row],[After_Discount]]*SALCE[[#This Row],[Tax_%]]/100</f>
        <v>0.4200000000000001</v>
      </c>
      <c r="K278" s="11">
        <v>0.14000000000000001</v>
      </c>
      <c r="L278" s="10">
        <f>SALCE[[#This Row],[Quantity]]*SALCE[[#This Row],[Unit_Price]]</f>
        <v>300</v>
      </c>
      <c r="M278" s="10">
        <f>SALCE[[#This Row],[Gross_Sales]]*SALCE[[#This Row],[Discount_%]]/100</f>
        <v>0</v>
      </c>
      <c r="N278" s="10">
        <f>SALCE[[#This Row],[After_Discount]]+SALCE[[#This Row],[Tax_Value]]</f>
        <v>300.42</v>
      </c>
      <c r="O278" s="10">
        <f>SALCE[[#This Row],[Gross_Sales]]*70%</f>
        <v>210</v>
      </c>
      <c r="P278" s="10">
        <f>SALCE[[#This Row],[Net_Sales]]-SALCE[[#This Row],[Cost_Price]]</f>
        <v>90.420000000000016</v>
      </c>
      <c r="Q278" s="10">
        <f>SALCE[[#This Row],[Gross_Sales]]-SALCE[[#This Row],[Discount_Value]]</f>
        <v>300</v>
      </c>
      <c r="R278" s="15" t="s">
        <v>62</v>
      </c>
      <c r="S278" s="15" t="s">
        <v>26</v>
      </c>
      <c r="T278" s="15" t="s">
        <v>27</v>
      </c>
    </row>
    <row r="279" spans="1:20" s="12" customFormat="1" ht="30" customHeight="1" thickTop="1" thickBot="1" x14ac:dyDescent="0.4">
      <c r="A279" s="7">
        <v>1278</v>
      </c>
      <c r="B279" s="8">
        <v>45935</v>
      </c>
      <c r="C279" s="14" t="s">
        <v>39</v>
      </c>
      <c r="D279" s="14" t="s">
        <v>36</v>
      </c>
      <c r="E279" s="14" t="s">
        <v>25</v>
      </c>
      <c r="F279" s="14" t="s">
        <v>20</v>
      </c>
      <c r="G279" s="7">
        <v>6</v>
      </c>
      <c r="H279" s="7">
        <v>500</v>
      </c>
      <c r="I279" s="9">
        <v>0</v>
      </c>
      <c r="J279" s="10">
        <f>SALCE[[#This Row],[After_Discount]]*SALCE[[#This Row],[Tax_%]]/100</f>
        <v>4.2</v>
      </c>
      <c r="K279" s="11">
        <v>0.14000000000000001</v>
      </c>
      <c r="L279" s="10">
        <f>SALCE[[#This Row],[Quantity]]*SALCE[[#This Row],[Unit_Price]]</f>
        <v>3000</v>
      </c>
      <c r="M279" s="10">
        <f>SALCE[[#This Row],[Gross_Sales]]*SALCE[[#This Row],[Discount_%]]/100</f>
        <v>0</v>
      </c>
      <c r="N279" s="10">
        <f>SALCE[[#This Row],[After_Discount]]+SALCE[[#This Row],[Tax_Value]]</f>
        <v>3004.2</v>
      </c>
      <c r="O279" s="10">
        <f>SALCE[[#This Row],[Gross_Sales]]*70%</f>
        <v>2100</v>
      </c>
      <c r="P279" s="10">
        <f>SALCE[[#This Row],[Net_Sales]]-SALCE[[#This Row],[Cost_Price]]</f>
        <v>904.19999999999982</v>
      </c>
      <c r="Q279" s="10">
        <f>SALCE[[#This Row],[Gross_Sales]]-SALCE[[#This Row],[Discount_Value]]</f>
        <v>3000</v>
      </c>
      <c r="R279" s="15" t="s">
        <v>49</v>
      </c>
      <c r="S279" s="15" t="s">
        <v>37</v>
      </c>
      <c r="T279" s="15" t="s">
        <v>22</v>
      </c>
    </row>
    <row r="280" spans="1:20" s="12" customFormat="1" ht="30" customHeight="1" thickTop="1" thickBot="1" x14ac:dyDescent="0.4">
      <c r="A280" s="7">
        <v>1279</v>
      </c>
      <c r="B280" s="8">
        <v>45936</v>
      </c>
      <c r="C280" s="14" t="s">
        <v>39</v>
      </c>
      <c r="D280" s="14" t="s">
        <v>38</v>
      </c>
      <c r="E280" s="14" t="s">
        <v>25</v>
      </c>
      <c r="F280" s="14" t="s">
        <v>20</v>
      </c>
      <c r="G280" s="7">
        <v>3</v>
      </c>
      <c r="H280" s="7">
        <v>500</v>
      </c>
      <c r="I280" s="9">
        <v>15</v>
      </c>
      <c r="J280" s="10">
        <f>SALCE[[#This Row],[After_Discount]]*SALCE[[#This Row],[Tax_%]]/100</f>
        <v>1.7850000000000004</v>
      </c>
      <c r="K280" s="11">
        <v>0.14000000000000001</v>
      </c>
      <c r="L280" s="10">
        <f>SALCE[[#This Row],[Quantity]]*SALCE[[#This Row],[Unit_Price]]</f>
        <v>1500</v>
      </c>
      <c r="M280" s="10">
        <f>SALCE[[#This Row],[Gross_Sales]]*SALCE[[#This Row],[Discount_%]]/100</f>
        <v>225</v>
      </c>
      <c r="N280" s="10">
        <f>SALCE[[#This Row],[After_Discount]]+SALCE[[#This Row],[Tax_Value]]</f>
        <v>1276.7850000000001</v>
      </c>
      <c r="O280" s="10">
        <f>SALCE[[#This Row],[Gross_Sales]]*70%</f>
        <v>1050</v>
      </c>
      <c r="P280" s="10">
        <f>SALCE[[#This Row],[Net_Sales]]-SALCE[[#This Row],[Cost_Price]]</f>
        <v>226.78500000000008</v>
      </c>
      <c r="Q280" s="10">
        <f>SALCE[[#This Row],[Gross_Sales]]-SALCE[[#This Row],[Discount_Value]]</f>
        <v>1275</v>
      </c>
      <c r="R280" s="15" t="s">
        <v>58</v>
      </c>
      <c r="S280" s="15" t="s">
        <v>26</v>
      </c>
      <c r="T280" s="15" t="s">
        <v>22</v>
      </c>
    </row>
    <row r="281" spans="1:20" s="12" customFormat="1" ht="30" customHeight="1" thickTop="1" thickBot="1" x14ac:dyDescent="0.4">
      <c r="A281" s="7">
        <v>1280</v>
      </c>
      <c r="B281" s="8">
        <v>45937</v>
      </c>
      <c r="C281" s="14" t="s">
        <v>30</v>
      </c>
      <c r="D281" s="14" t="s">
        <v>38</v>
      </c>
      <c r="E281" s="14" t="s">
        <v>19</v>
      </c>
      <c r="F281" s="14" t="s">
        <v>20</v>
      </c>
      <c r="G281" s="7">
        <v>3</v>
      </c>
      <c r="H281" s="7">
        <v>300</v>
      </c>
      <c r="I281" s="9">
        <v>0</v>
      </c>
      <c r="J281" s="10">
        <f>SALCE[[#This Row],[After_Discount]]*SALCE[[#This Row],[Tax_%]]/100</f>
        <v>1.2600000000000002</v>
      </c>
      <c r="K281" s="11">
        <v>0.14000000000000001</v>
      </c>
      <c r="L281" s="10">
        <f>SALCE[[#This Row],[Quantity]]*SALCE[[#This Row],[Unit_Price]]</f>
        <v>900</v>
      </c>
      <c r="M281" s="10">
        <f>SALCE[[#This Row],[Gross_Sales]]*SALCE[[#This Row],[Discount_%]]/100</f>
        <v>0</v>
      </c>
      <c r="N281" s="10">
        <f>SALCE[[#This Row],[After_Discount]]+SALCE[[#This Row],[Tax_Value]]</f>
        <v>901.26</v>
      </c>
      <c r="O281" s="10">
        <f>SALCE[[#This Row],[Gross_Sales]]*70%</f>
        <v>630</v>
      </c>
      <c r="P281" s="10">
        <f>SALCE[[#This Row],[Net_Sales]]-SALCE[[#This Row],[Cost_Price]]</f>
        <v>271.26</v>
      </c>
      <c r="Q281" s="10">
        <f>SALCE[[#This Row],[Gross_Sales]]-SALCE[[#This Row],[Discount_Value]]</f>
        <v>900</v>
      </c>
      <c r="R281" s="15" t="s">
        <v>50</v>
      </c>
      <c r="S281" s="15" t="s">
        <v>37</v>
      </c>
      <c r="T281" s="15" t="s">
        <v>27</v>
      </c>
    </row>
    <row r="282" spans="1:20" s="12" customFormat="1" ht="30" customHeight="1" thickTop="1" thickBot="1" x14ac:dyDescent="0.4">
      <c r="A282" s="7">
        <v>1281</v>
      </c>
      <c r="B282" s="8">
        <v>45938</v>
      </c>
      <c r="C282" s="14" t="s">
        <v>28</v>
      </c>
      <c r="D282" s="14" t="s">
        <v>41</v>
      </c>
      <c r="E282" s="14" t="s">
        <v>19</v>
      </c>
      <c r="F282" s="14" t="s">
        <v>20</v>
      </c>
      <c r="G282" s="7">
        <v>8</v>
      </c>
      <c r="H282" s="7">
        <v>300</v>
      </c>
      <c r="I282" s="9">
        <v>15</v>
      </c>
      <c r="J282" s="10">
        <f>SALCE[[#This Row],[After_Discount]]*SALCE[[#This Row],[Tax_%]]/100</f>
        <v>2.8560000000000003</v>
      </c>
      <c r="K282" s="11">
        <v>0.14000000000000001</v>
      </c>
      <c r="L282" s="10">
        <f>SALCE[[#This Row],[Quantity]]*SALCE[[#This Row],[Unit_Price]]</f>
        <v>2400</v>
      </c>
      <c r="M282" s="10">
        <f>SALCE[[#This Row],[Gross_Sales]]*SALCE[[#This Row],[Discount_%]]/100</f>
        <v>360</v>
      </c>
      <c r="N282" s="10">
        <f>SALCE[[#This Row],[After_Discount]]+SALCE[[#This Row],[Tax_Value]]</f>
        <v>2042.856</v>
      </c>
      <c r="O282" s="10">
        <f>SALCE[[#This Row],[Gross_Sales]]*70%</f>
        <v>1680</v>
      </c>
      <c r="P282" s="10">
        <f>SALCE[[#This Row],[Net_Sales]]-SALCE[[#This Row],[Cost_Price]]</f>
        <v>362.85599999999999</v>
      </c>
      <c r="Q282" s="10">
        <f>SALCE[[#This Row],[Gross_Sales]]-SALCE[[#This Row],[Discount_Value]]</f>
        <v>2040</v>
      </c>
      <c r="R282" s="15" t="s">
        <v>58</v>
      </c>
      <c r="S282" s="15" t="s">
        <v>26</v>
      </c>
      <c r="T282" s="15" t="s">
        <v>27</v>
      </c>
    </row>
    <row r="283" spans="1:20" s="12" customFormat="1" ht="30" customHeight="1" thickTop="1" thickBot="1" x14ac:dyDescent="0.4">
      <c r="A283" s="7">
        <v>1282</v>
      </c>
      <c r="B283" s="8">
        <v>45939</v>
      </c>
      <c r="C283" s="14" t="s">
        <v>28</v>
      </c>
      <c r="D283" s="14" t="s">
        <v>29</v>
      </c>
      <c r="E283" s="14" t="s">
        <v>31</v>
      </c>
      <c r="F283" s="14" t="s">
        <v>32</v>
      </c>
      <c r="G283" s="7">
        <v>2</v>
      </c>
      <c r="H283" s="7">
        <v>15000</v>
      </c>
      <c r="I283" s="9">
        <v>10</v>
      </c>
      <c r="J283" s="10">
        <f>SALCE[[#This Row],[After_Discount]]*SALCE[[#This Row],[Tax_%]]/100</f>
        <v>37.800000000000004</v>
      </c>
      <c r="K283" s="11">
        <v>0.14000000000000001</v>
      </c>
      <c r="L283" s="10">
        <f>SALCE[[#This Row],[Quantity]]*SALCE[[#This Row],[Unit_Price]]</f>
        <v>30000</v>
      </c>
      <c r="M283" s="10">
        <f>SALCE[[#This Row],[Gross_Sales]]*SALCE[[#This Row],[Discount_%]]/100</f>
        <v>3000</v>
      </c>
      <c r="N283" s="10">
        <f>SALCE[[#This Row],[After_Discount]]+SALCE[[#This Row],[Tax_Value]]</f>
        <v>27037.8</v>
      </c>
      <c r="O283" s="10">
        <f>SALCE[[#This Row],[Gross_Sales]]*70%</f>
        <v>21000</v>
      </c>
      <c r="P283" s="10">
        <f>SALCE[[#This Row],[Net_Sales]]-SALCE[[#This Row],[Cost_Price]]</f>
        <v>6037.7999999999993</v>
      </c>
      <c r="Q283" s="10">
        <f>SALCE[[#This Row],[Gross_Sales]]-SALCE[[#This Row],[Discount_Value]]</f>
        <v>27000</v>
      </c>
      <c r="R283" s="15" t="s">
        <v>61</v>
      </c>
      <c r="S283" s="15" t="s">
        <v>37</v>
      </c>
      <c r="T283" s="15" t="s">
        <v>27</v>
      </c>
    </row>
    <row r="284" spans="1:20" s="12" customFormat="1" ht="30" customHeight="1" thickTop="1" thickBot="1" x14ac:dyDescent="0.4">
      <c r="A284" s="7">
        <v>1283</v>
      </c>
      <c r="B284" s="8">
        <v>45940</v>
      </c>
      <c r="C284" s="14" t="s">
        <v>30</v>
      </c>
      <c r="D284" s="14" t="s">
        <v>41</v>
      </c>
      <c r="E284" s="14" t="s">
        <v>34</v>
      </c>
      <c r="F284" s="14" t="s">
        <v>32</v>
      </c>
      <c r="G284" s="7">
        <v>3</v>
      </c>
      <c r="H284" s="7">
        <v>4000</v>
      </c>
      <c r="I284" s="9">
        <v>15</v>
      </c>
      <c r="J284" s="10">
        <f>SALCE[[#This Row],[After_Discount]]*SALCE[[#This Row],[Tax_%]]/100</f>
        <v>14.280000000000003</v>
      </c>
      <c r="K284" s="11">
        <v>0.14000000000000001</v>
      </c>
      <c r="L284" s="10">
        <f>SALCE[[#This Row],[Quantity]]*SALCE[[#This Row],[Unit_Price]]</f>
        <v>12000</v>
      </c>
      <c r="M284" s="10">
        <f>SALCE[[#This Row],[Gross_Sales]]*SALCE[[#This Row],[Discount_%]]/100</f>
        <v>1800</v>
      </c>
      <c r="N284" s="10">
        <f>SALCE[[#This Row],[After_Discount]]+SALCE[[#This Row],[Tax_Value]]</f>
        <v>10214.280000000001</v>
      </c>
      <c r="O284" s="10">
        <f>SALCE[[#This Row],[Gross_Sales]]*70%</f>
        <v>8400</v>
      </c>
      <c r="P284" s="10">
        <f>SALCE[[#This Row],[Net_Sales]]-SALCE[[#This Row],[Cost_Price]]</f>
        <v>1814.2800000000007</v>
      </c>
      <c r="Q284" s="10">
        <f>SALCE[[#This Row],[Gross_Sales]]-SALCE[[#This Row],[Discount_Value]]</f>
        <v>10200</v>
      </c>
      <c r="R284" s="15" t="s">
        <v>56</v>
      </c>
      <c r="S284" s="15" t="s">
        <v>37</v>
      </c>
      <c r="T284" s="15" t="s">
        <v>22</v>
      </c>
    </row>
    <row r="285" spans="1:20" s="12" customFormat="1" ht="30" customHeight="1" thickTop="1" thickBot="1" x14ac:dyDescent="0.4">
      <c r="A285" s="7">
        <v>1284</v>
      </c>
      <c r="B285" s="8">
        <v>45941</v>
      </c>
      <c r="C285" s="14" t="s">
        <v>17</v>
      </c>
      <c r="D285" s="14" t="s">
        <v>18</v>
      </c>
      <c r="E285" s="14" t="s">
        <v>19</v>
      </c>
      <c r="F285" s="14" t="s">
        <v>20</v>
      </c>
      <c r="G285" s="7">
        <v>3</v>
      </c>
      <c r="H285" s="7">
        <v>300</v>
      </c>
      <c r="I285" s="9">
        <v>15</v>
      </c>
      <c r="J285" s="10">
        <f>SALCE[[#This Row],[After_Discount]]*SALCE[[#This Row],[Tax_%]]/100</f>
        <v>1.0710000000000002</v>
      </c>
      <c r="K285" s="11">
        <v>0.14000000000000001</v>
      </c>
      <c r="L285" s="10">
        <f>SALCE[[#This Row],[Quantity]]*SALCE[[#This Row],[Unit_Price]]</f>
        <v>900</v>
      </c>
      <c r="M285" s="10">
        <f>SALCE[[#This Row],[Gross_Sales]]*SALCE[[#This Row],[Discount_%]]/100</f>
        <v>135</v>
      </c>
      <c r="N285" s="10">
        <f>SALCE[[#This Row],[After_Discount]]+SALCE[[#This Row],[Tax_Value]]</f>
        <v>766.07100000000003</v>
      </c>
      <c r="O285" s="10">
        <f>SALCE[[#This Row],[Gross_Sales]]*70%</f>
        <v>630</v>
      </c>
      <c r="P285" s="10">
        <f>SALCE[[#This Row],[Net_Sales]]-SALCE[[#This Row],[Cost_Price]]</f>
        <v>136.07100000000003</v>
      </c>
      <c r="Q285" s="10">
        <f>SALCE[[#This Row],[Gross_Sales]]-SALCE[[#This Row],[Discount_Value]]</f>
        <v>765</v>
      </c>
      <c r="R285" s="15" t="s">
        <v>62</v>
      </c>
      <c r="S285" s="15" t="s">
        <v>21</v>
      </c>
      <c r="T285" s="15" t="s">
        <v>22</v>
      </c>
    </row>
    <row r="286" spans="1:20" s="12" customFormat="1" ht="30" customHeight="1" thickTop="1" thickBot="1" x14ac:dyDescent="0.4">
      <c r="A286" s="7">
        <v>1285</v>
      </c>
      <c r="B286" s="8">
        <v>45942</v>
      </c>
      <c r="C286" s="14" t="s">
        <v>35</v>
      </c>
      <c r="D286" s="14" t="s">
        <v>24</v>
      </c>
      <c r="E286" s="14" t="s">
        <v>31</v>
      </c>
      <c r="F286" s="14" t="s">
        <v>32</v>
      </c>
      <c r="G286" s="7">
        <v>3</v>
      </c>
      <c r="H286" s="7">
        <v>15000</v>
      </c>
      <c r="I286" s="9">
        <v>0</v>
      </c>
      <c r="J286" s="10">
        <f>SALCE[[#This Row],[After_Discount]]*SALCE[[#This Row],[Tax_%]]/100</f>
        <v>63.000000000000007</v>
      </c>
      <c r="K286" s="11">
        <v>0.14000000000000001</v>
      </c>
      <c r="L286" s="10">
        <f>SALCE[[#This Row],[Quantity]]*SALCE[[#This Row],[Unit_Price]]</f>
        <v>45000</v>
      </c>
      <c r="M286" s="10">
        <f>SALCE[[#This Row],[Gross_Sales]]*SALCE[[#This Row],[Discount_%]]/100</f>
        <v>0</v>
      </c>
      <c r="N286" s="10">
        <f>SALCE[[#This Row],[After_Discount]]+SALCE[[#This Row],[Tax_Value]]</f>
        <v>45063</v>
      </c>
      <c r="O286" s="10">
        <f>SALCE[[#This Row],[Gross_Sales]]*70%</f>
        <v>31499.999999999996</v>
      </c>
      <c r="P286" s="10">
        <f>SALCE[[#This Row],[Net_Sales]]-SALCE[[#This Row],[Cost_Price]]</f>
        <v>13563.000000000004</v>
      </c>
      <c r="Q286" s="10">
        <f>SALCE[[#This Row],[Gross_Sales]]-SALCE[[#This Row],[Discount_Value]]</f>
        <v>45000</v>
      </c>
      <c r="R286" s="15" t="s">
        <v>53</v>
      </c>
      <c r="S286" s="15" t="s">
        <v>21</v>
      </c>
      <c r="T286" s="15" t="s">
        <v>22</v>
      </c>
    </row>
    <row r="287" spans="1:20" s="12" customFormat="1" ht="30" customHeight="1" thickTop="1" thickBot="1" x14ac:dyDescent="0.4">
      <c r="A287" s="7">
        <v>1286</v>
      </c>
      <c r="B287" s="8">
        <v>45943</v>
      </c>
      <c r="C287" s="14" t="s">
        <v>23</v>
      </c>
      <c r="D287" s="14" t="s">
        <v>36</v>
      </c>
      <c r="E287" s="14" t="s">
        <v>31</v>
      </c>
      <c r="F287" s="14" t="s">
        <v>32</v>
      </c>
      <c r="G287" s="7">
        <v>2</v>
      </c>
      <c r="H287" s="7">
        <v>15000</v>
      </c>
      <c r="I287" s="9">
        <v>5</v>
      </c>
      <c r="J287" s="10">
        <f>SALCE[[#This Row],[After_Discount]]*SALCE[[#This Row],[Tax_%]]/100</f>
        <v>39.900000000000006</v>
      </c>
      <c r="K287" s="11">
        <v>0.14000000000000001</v>
      </c>
      <c r="L287" s="10">
        <f>SALCE[[#This Row],[Quantity]]*SALCE[[#This Row],[Unit_Price]]</f>
        <v>30000</v>
      </c>
      <c r="M287" s="10">
        <f>SALCE[[#This Row],[Gross_Sales]]*SALCE[[#This Row],[Discount_%]]/100</f>
        <v>1500</v>
      </c>
      <c r="N287" s="10">
        <f>SALCE[[#This Row],[After_Discount]]+SALCE[[#This Row],[Tax_Value]]</f>
        <v>28539.9</v>
      </c>
      <c r="O287" s="10">
        <f>SALCE[[#This Row],[Gross_Sales]]*70%</f>
        <v>21000</v>
      </c>
      <c r="P287" s="10">
        <f>SALCE[[#This Row],[Net_Sales]]-SALCE[[#This Row],[Cost_Price]]</f>
        <v>7539.9000000000015</v>
      </c>
      <c r="Q287" s="10">
        <f>SALCE[[#This Row],[Gross_Sales]]-SALCE[[#This Row],[Discount_Value]]</f>
        <v>28500</v>
      </c>
      <c r="R287" s="15" t="s">
        <v>51</v>
      </c>
      <c r="S287" s="15" t="s">
        <v>21</v>
      </c>
      <c r="T287" s="15" t="s">
        <v>27</v>
      </c>
    </row>
    <row r="288" spans="1:20" s="12" customFormat="1" ht="30" customHeight="1" thickTop="1" thickBot="1" x14ac:dyDescent="0.4">
      <c r="A288" s="7">
        <v>1287</v>
      </c>
      <c r="B288" s="8">
        <v>45944</v>
      </c>
      <c r="C288" s="14" t="s">
        <v>39</v>
      </c>
      <c r="D288" s="14" t="s">
        <v>29</v>
      </c>
      <c r="E288" s="14" t="s">
        <v>34</v>
      </c>
      <c r="F288" s="14" t="s">
        <v>32</v>
      </c>
      <c r="G288" s="7">
        <v>9</v>
      </c>
      <c r="H288" s="7">
        <v>4000</v>
      </c>
      <c r="I288" s="9">
        <v>5</v>
      </c>
      <c r="J288" s="10">
        <f>SALCE[[#This Row],[After_Discount]]*SALCE[[#This Row],[Tax_%]]/100</f>
        <v>47.88000000000001</v>
      </c>
      <c r="K288" s="11">
        <v>0.14000000000000001</v>
      </c>
      <c r="L288" s="10">
        <f>SALCE[[#This Row],[Quantity]]*SALCE[[#This Row],[Unit_Price]]</f>
        <v>36000</v>
      </c>
      <c r="M288" s="10">
        <f>SALCE[[#This Row],[Gross_Sales]]*SALCE[[#This Row],[Discount_%]]/100</f>
        <v>1800</v>
      </c>
      <c r="N288" s="10">
        <f>SALCE[[#This Row],[After_Discount]]+SALCE[[#This Row],[Tax_Value]]</f>
        <v>34247.879999999997</v>
      </c>
      <c r="O288" s="10">
        <f>SALCE[[#This Row],[Gross_Sales]]*70%</f>
        <v>25200</v>
      </c>
      <c r="P288" s="10">
        <f>SALCE[[#This Row],[Net_Sales]]-SALCE[[#This Row],[Cost_Price]]</f>
        <v>9047.8799999999974</v>
      </c>
      <c r="Q288" s="10">
        <f>SALCE[[#This Row],[Gross_Sales]]-SALCE[[#This Row],[Discount_Value]]</f>
        <v>34200</v>
      </c>
      <c r="R288" s="15" t="s">
        <v>54</v>
      </c>
      <c r="S288" s="15" t="s">
        <v>37</v>
      </c>
      <c r="T288" s="15" t="s">
        <v>27</v>
      </c>
    </row>
    <row r="289" spans="1:20" s="12" customFormat="1" ht="30" customHeight="1" thickTop="1" thickBot="1" x14ac:dyDescent="0.4">
      <c r="A289" s="7">
        <v>1288</v>
      </c>
      <c r="B289" s="8">
        <v>45945</v>
      </c>
      <c r="C289" s="14" t="s">
        <v>35</v>
      </c>
      <c r="D289" s="14" t="s">
        <v>29</v>
      </c>
      <c r="E289" s="14" t="s">
        <v>31</v>
      </c>
      <c r="F289" s="14" t="s">
        <v>32</v>
      </c>
      <c r="G289" s="7">
        <v>9</v>
      </c>
      <c r="H289" s="7">
        <v>15000</v>
      </c>
      <c r="I289" s="9">
        <v>15</v>
      </c>
      <c r="J289" s="10">
        <f>SALCE[[#This Row],[After_Discount]]*SALCE[[#This Row],[Tax_%]]/100</f>
        <v>160.65</v>
      </c>
      <c r="K289" s="11">
        <v>0.14000000000000001</v>
      </c>
      <c r="L289" s="10">
        <f>SALCE[[#This Row],[Quantity]]*SALCE[[#This Row],[Unit_Price]]</f>
        <v>135000</v>
      </c>
      <c r="M289" s="10">
        <f>SALCE[[#This Row],[Gross_Sales]]*SALCE[[#This Row],[Discount_%]]/100</f>
        <v>20250</v>
      </c>
      <c r="N289" s="10">
        <f>SALCE[[#This Row],[After_Discount]]+SALCE[[#This Row],[Tax_Value]]</f>
        <v>114910.65</v>
      </c>
      <c r="O289" s="10">
        <f>SALCE[[#This Row],[Gross_Sales]]*70%</f>
        <v>94500</v>
      </c>
      <c r="P289" s="10">
        <f>SALCE[[#This Row],[Net_Sales]]-SALCE[[#This Row],[Cost_Price]]</f>
        <v>20410.649999999994</v>
      </c>
      <c r="Q289" s="10">
        <f>SALCE[[#This Row],[Gross_Sales]]-SALCE[[#This Row],[Discount_Value]]</f>
        <v>114750</v>
      </c>
      <c r="R289" s="15" t="s">
        <v>47</v>
      </c>
      <c r="S289" s="15" t="s">
        <v>21</v>
      </c>
      <c r="T289" s="15" t="s">
        <v>27</v>
      </c>
    </row>
    <row r="290" spans="1:20" s="12" customFormat="1" ht="30" customHeight="1" thickTop="1" thickBot="1" x14ac:dyDescent="0.4">
      <c r="A290" s="7">
        <v>1289</v>
      </c>
      <c r="B290" s="8">
        <v>45946</v>
      </c>
      <c r="C290" s="14" t="s">
        <v>35</v>
      </c>
      <c r="D290" s="14" t="s">
        <v>41</v>
      </c>
      <c r="E290" s="14" t="s">
        <v>34</v>
      </c>
      <c r="F290" s="14" t="s">
        <v>32</v>
      </c>
      <c r="G290" s="7">
        <v>8</v>
      </c>
      <c r="H290" s="7">
        <v>4000</v>
      </c>
      <c r="I290" s="9">
        <v>15</v>
      </c>
      <c r="J290" s="10">
        <f>SALCE[[#This Row],[After_Discount]]*SALCE[[#This Row],[Tax_%]]/100</f>
        <v>38.080000000000005</v>
      </c>
      <c r="K290" s="11">
        <v>0.14000000000000001</v>
      </c>
      <c r="L290" s="10">
        <f>SALCE[[#This Row],[Quantity]]*SALCE[[#This Row],[Unit_Price]]</f>
        <v>32000</v>
      </c>
      <c r="M290" s="10">
        <f>SALCE[[#This Row],[Gross_Sales]]*SALCE[[#This Row],[Discount_%]]/100</f>
        <v>4800</v>
      </c>
      <c r="N290" s="10">
        <f>SALCE[[#This Row],[After_Discount]]+SALCE[[#This Row],[Tax_Value]]</f>
        <v>27238.080000000002</v>
      </c>
      <c r="O290" s="10">
        <f>SALCE[[#This Row],[Gross_Sales]]*70%</f>
        <v>22400</v>
      </c>
      <c r="P290" s="10">
        <f>SALCE[[#This Row],[Net_Sales]]-SALCE[[#This Row],[Cost_Price]]</f>
        <v>4838.0800000000017</v>
      </c>
      <c r="Q290" s="10">
        <f>SALCE[[#This Row],[Gross_Sales]]-SALCE[[#This Row],[Discount_Value]]</f>
        <v>27200</v>
      </c>
      <c r="R290" s="15" t="s">
        <v>56</v>
      </c>
      <c r="S290" s="15" t="s">
        <v>21</v>
      </c>
      <c r="T290" s="15" t="s">
        <v>27</v>
      </c>
    </row>
    <row r="291" spans="1:20" s="12" customFormat="1" ht="30" customHeight="1" thickTop="1" thickBot="1" x14ac:dyDescent="0.4">
      <c r="A291" s="7">
        <v>1290</v>
      </c>
      <c r="B291" s="8">
        <v>45947</v>
      </c>
      <c r="C291" s="14" t="s">
        <v>17</v>
      </c>
      <c r="D291" s="14" t="s">
        <v>29</v>
      </c>
      <c r="E291" s="14" t="s">
        <v>31</v>
      </c>
      <c r="F291" s="14" t="s">
        <v>32</v>
      </c>
      <c r="G291" s="7">
        <v>8</v>
      </c>
      <c r="H291" s="7">
        <v>15000</v>
      </c>
      <c r="I291" s="9">
        <v>10</v>
      </c>
      <c r="J291" s="10">
        <f>SALCE[[#This Row],[After_Discount]]*SALCE[[#This Row],[Tax_%]]/100</f>
        <v>151.20000000000002</v>
      </c>
      <c r="K291" s="11">
        <v>0.14000000000000001</v>
      </c>
      <c r="L291" s="10">
        <f>SALCE[[#This Row],[Quantity]]*SALCE[[#This Row],[Unit_Price]]</f>
        <v>120000</v>
      </c>
      <c r="M291" s="10">
        <f>SALCE[[#This Row],[Gross_Sales]]*SALCE[[#This Row],[Discount_%]]/100</f>
        <v>12000</v>
      </c>
      <c r="N291" s="10">
        <f>SALCE[[#This Row],[After_Discount]]+SALCE[[#This Row],[Tax_Value]]</f>
        <v>108151.2</v>
      </c>
      <c r="O291" s="10">
        <f>SALCE[[#This Row],[Gross_Sales]]*70%</f>
        <v>84000</v>
      </c>
      <c r="P291" s="10">
        <f>SALCE[[#This Row],[Net_Sales]]-SALCE[[#This Row],[Cost_Price]]</f>
        <v>24151.199999999997</v>
      </c>
      <c r="Q291" s="10">
        <f>SALCE[[#This Row],[Gross_Sales]]-SALCE[[#This Row],[Discount_Value]]</f>
        <v>108000</v>
      </c>
      <c r="R291" s="15" t="s">
        <v>58</v>
      </c>
      <c r="S291" s="15" t="s">
        <v>37</v>
      </c>
      <c r="T291" s="15" t="s">
        <v>22</v>
      </c>
    </row>
    <row r="292" spans="1:20" s="12" customFormat="1" ht="30" customHeight="1" thickTop="1" thickBot="1" x14ac:dyDescent="0.4">
      <c r="A292" s="7">
        <v>1291</v>
      </c>
      <c r="B292" s="8">
        <v>45948</v>
      </c>
      <c r="C292" s="14" t="s">
        <v>35</v>
      </c>
      <c r="D292" s="14" t="s">
        <v>29</v>
      </c>
      <c r="E292" s="14" t="s">
        <v>25</v>
      </c>
      <c r="F292" s="14" t="s">
        <v>20</v>
      </c>
      <c r="G292" s="7">
        <v>4</v>
      </c>
      <c r="H292" s="7">
        <v>500</v>
      </c>
      <c r="I292" s="9">
        <v>15</v>
      </c>
      <c r="J292" s="10">
        <f>SALCE[[#This Row],[After_Discount]]*SALCE[[#This Row],[Tax_%]]/100</f>
        <v>2.3800000000000003</v>
      </c>
      <c r="K292" s="11">
        <v>0.14000000000000001</v>
      </c>
      <c r="L292" s="10">
        <f>SALCE[[#This Row],[Quantity]]*SALCE[[#This Row],[Unit_Price]]</f>
        <v>2000</v>
      </c>
      <c r="M292" s="10">
        <f>SALCE[[#This Row],[Gross_Sales]]*SALCE[[#This Row],[Discount_%]]/100</f>
        <v>300</v>
      </c>
      <c r="N292" s="10">
        <f>SALCE[[#This Row],[After_Discount]]+SALCE[[#This Row],[Tax_Value]]</f>
        <v>1702.38</v>
      </c>
      <c r="O292" s="10">
        <f>SALCE[[#This Row],[Gross_Sales]]*70%</f>
        <v>1400</v>
      </c>
      <c r="P292" s="10">
        <f>SALCE[[#This Row],[Net_Sales]]-SALCE[[#This Row],[Cost_Price]]</f>
        <v>302.38000000000011</v>
      </c>
      <c r="Q292" s="10">
        <f>SALCE[[#This Row],[Gross_Sales]]-SALCE[[#This Row],[Discount_Value]]</f>
        <v>1700</v>
      </c>
      <c r="R292" s="15" t="s">
        <v>52</v>
      </c>
      <c r="S292" s="15" t="s">
        <v>21</v>
      </c>
      <c r="T292" s="15" t="s">
        <v>27</v>
      </c>
    </row>
    <row r="293" spans="1:20" s="12" customFormat="1" ht="30" customHeight="1" thickTop="1" thickBot="1" x14ac:dyDescent="0.4">
      <c r="A293" s="7">
        <v>1292</v>
      </c>
      <c r="B293" s="8">
        <v>45949</v>
      </c>
      <c r="C293" s="14" t="s">
        <v>35</v>
      </c>
      <c r="D293" s="14" t="s">
        <v>36</v>
      </c>
      <c r="E293" s="14" t="s">
        <v>31</v>
      </c>
      <c r="F293" s="14" t="s">
        <v>32</v>
      </c>
      <c r="G293" s="7">
        <v>4</v>
      </c>
      <c r="H293" s="7">
        <v>15000</v>
      </c>
      <c r="I293" s="9">
        <v>0</v>
      </c>
      <c r="J293" s="10">
        <f>SALCE[[#This Row],[After_Discount]]*SALCE[[#This Row],[Tax_%]]/100</f>
        <v>84</v>
      </c>
      <c r="K293" s="11">
        <v>0.14000000000000001</v>
      </c>
      <c r="L293" s="10">
        <f>SALCE[[#This Row],[Quantity]]*SALCE[[#This Row],[Unit_Price]]</f>
        <v>60000</v>
      </c>
      <c r="M293" s="10">
        <f>SALCE[[#This Row],[Gross_Sales]]*SALCE[[#This Row],[Discount_%]]/100</f>
        <v>0</v>
      </c>
      <c r="N293" s="10">
        <f>SALCE[[#This Row],[After_Discount]]+SALCE[[#This Row],[Tax_Value]]</f>
        <v>60084</v>
      </c>
      <c r="O293" s="10">
        <f>SALCE[[#This Row],[Gross_Sales]]*70%</f>
        <v>42000</v>
      </c>
      <c r="P293" s="10">
        <f>SALCE[[#This Row],[Net_Sales]]-SALCE[[#This Row],[Cost_Price]]</f>
        <v>18084</v>
      </c>
      <c r="Q293" s="10">
        <f>SALCE[[#This Row],[Gross_Sales]]-SALCE[[#This Row],[Discount_Value]]</f>
        <v>60000</v>
      </c>
      <c r="R293" s="15" t="s">
        <v>53</v>
      </c>
      <c r="S293" s="15" t="s">
        <v>37</v>
      </c>
      <c r="T293" s="15" t="s">
        <v>27</v>
      </c>
    </row>
    <row r="294" spans="1:20" s="12" customFormat="1" ht="30" customHeight="1" thickTop="1" thickBot="1" x14ac:dyDescent="0.4">
      <c r="A294" s="7">
        <v>1293</v>
      </c>
      <c r="B294" s="8">
        <v>45950</v>
      </c>
      <c r="C294" s="14" t="s">
        <v>28</v>
      </c>
      <c r="D294" s="14" t="s">
        <v>29</v>
      </c>
      <c r="E294" s="14" t="s">
        <v>19</v>
      </c>
      <c r="F294" s="14" t="s">
        <v>20</v>
      </c>
      <c r="G294" s="7">
        <v>8</v>
      </c>
      <c r="H294" s="7">
        <v>300</v>
      </c>
      <c r="I294" s="9">
        <v>0</v>
      </c>
      <c r="J294" s="10">
        <f>SALCE[[#This Row],[After_Discount]]*SALCE[[#This Row],[Tax_%]]/100</f>
        <v>3.3600000000000008</v>
      </c>
      <c r="K294" s="11">
        <v>0.14000000000000001</v>
      </c>
      <c r="L294" s="10">
        <f>SALCE[[#This Row],[Quantity]]*SALCE[[#This Row],[Unit_Price]]</f>
        <v>2400</v>
      </c>
      <c r="M294" s="10">
        <f>SALCE[[#This Row],[Gross_Sales]]*SALCE[[#This Row],[Discount_%]]/100</f>
        <v>0</v>
      </c>
      <c r="N294" s="10">
        <f>SALCE[[#This Row],[After_Discount]]+SALCE[[#This Row],[Tax_Value]]</f>
        <v>2403.36</v>
      </c>
      <c r="O294" s="10">
        <f>SALCE[[#This Row],[Gross_Sales]]*70%</f>
        <v>1680</v>
      </c>
      <c r="P294" s="10">
        <f>SALCE[[#This Row],[Net_Sales]]-SALCE[[#This Row],[Cost_Price]]</f>
        <v>723.36000000000013</v>
      </c>
      <c r="Q294" s="10">
        <f>SALCE[[#This Row],[Gross_Sales]]-SALCE[[#This Row],[Discount_Value]]</f>
        <v>2400</v>
      </c>
      <c r="R294" s="15" t="s">
        <v>51</v>
      </c>
      <c r="S294" s="15" t="s">
        <v>21</v>
      </c>
      <c r="T294" s="15" t="s">
        <v>27</v>
      </c>
    </row>
    <row r="295" spans="1:20" s="12" customFormat="1" ht="30" customHeight="1" thickTop="1" thickBot="1" x14ac:dyDescent="0.4">
      <c r="A295" s="7">
        <v>1294</v>
      </c>
      <c r="B295" s="8">
        <v>45951</v>
      </c>
      <c r="C295" s="14" t="s">
        <v>17</v>
      </c>
      <c r="D295" s="14" t="s">
        <v>36</v>
      </c>
      <c r="E295" s="14" t="s">
        <v>31</v>
      </c>
      <c r="F295" s="14" t="s">
        <v>32</v>
      </c>
      <c r="G295" s="7">
        <v>2</v>
      </c>
      <c r="H295" s="7">
        <v>15000</v>
      </c>
      <c r="I295" s="9">
        <v>15</v>
      </c>
      <c r="J295" s="10">
        <f>SALCE[[#This Row],[After_Discount]]*SALCE[[#This Row],[Tax_%]]/100</f>
        <v>35.700000000000003</v>
      </c>
      <c r="K295" s="11">
        <v>0.14000000000000001</v>
      </c>
      <c r="L295" s="10">
        <f>SALCE[[#This Row],[Quantity]]*SALCE[[#This Row],[Unit_Price]]</f>
        <v>30000</v>
      </c>
      <c r="M295" s="10">
        <f>SALCE[[#This Row],[Gross_Sales]]*SALCE[[#This Row],[Discount_%]]/100</f>
        <v>4500</v>
      </c>
      <c r="N295" s="10">
        <f>SALCE[[#This Row],[After_Discount]]+SALCE[[#This Row],[Tax_Value]]</f>
        <v>25535.7</v>
      </c>
      <c r="O295" s="10">
        <f>SALCE[[#This Row],[Gross_Sales]]*70%</f>
        <v>21000</v>
      </c>
      <c r="P295" s="10">
        <f>SALCE[[#This Row],[Net_Sales]]-SALCE[[#This Row],[Cost_Price]]</f>
        <v>4535.7000000000007</v>
      </c>
      <c r="Q295" s="10">
        <f>SALCE[[#This Row],[Gross_Sales]]-SALCE[[#This Row],[Discount_Value]]</f>
        <v>25500</v>
      </c>
      <c r="R295" s="15" t="s">
        <v>60</v>
      </c>
      <c r="S295" s="15" t="s">
        <v>37</v>
      </c>
      <c r="T295" s="15" t="s">
        <v>22</v>
      </c>
    </row>
    <row r="296" spans="1:20" s="12" customFormat="1" ht="30" customHeight="1" thickTop="1" thickBot="1" x14ac:dyDescent="0.4">
      <c r="A296" s="7">
        <v>1295</v>
      </c>
      <c r="B296" s="8">
        <v>45952</v>
      </c>
      <c r="C296" s="14" t="s">
        <v>17</v>
      </c>
      <c r="D296" s="14" t="s">
        <v>24</v>
      </c>
      <c r="E296" s="14" t="s">
        <v>34</v>
      </c>
      <c r="F296" s="14" t="s">
        <v>32</v>
      </c>
      <c r="G296" s="7">
        <v>7</v>
      </c>
      <c r="H296" s="7">
        <v>4000</v>
      </c>
      <c r="I296" s="9">
        <v>10</v>
      </c>
      <c r="J296" s="10">
        <f>SALCE[[#This Row],[After_Discount]]*SALCE[[#This Row],[Tax_%]]/100</f>
        <v>35.28</v>
      </c>
      <c r="K296" s="11">
        <v>0.14000000000000001</v>
      </c>
      <c r="L296" s="10">
        <f>SALCE[[#This Row],[Quantity]]*SALCE[[#This Row],[Unit_Price]]</f>
        <v>28000</v>
      </c>
      <c r="M296" s="10">
        <f>SALCE[[#This Row],[Gross_Sales]]*SALCE[[#This Row],[Discount_%]]/100</f>
        <v>2800</v>
      </c>
      <c r="N296" s="10">
        <f>SALCE[[#This Row],[After_Discount]]+SALCE[[#This Row],[Tax_Value]]</f>
        <v>25235.279999999999</v>
      </c>
      <c r="O296" s="10">
        <f>SALCE[[#This Row],[Gross_Sales]]*70%</f>
        <v>19600</v>
      </c>
      <c r="P296" s="10">
        <f>SALCE[[#This Row],[Net_Sales]]-SALCE[[#This Row],[Cost_Price]]</f>
        <v>5635.2799999999988</v>
      </c>
      <c r="Q296" s="10">
        <f>SALCE[[#This Row],[Gross_Sales]]-SALCE[[#This Row],[Discount_Value]]</f>
        <v>25200</v>
      </c>
      <c r="R296" s="15" t="s">
        <v>50</v>
      </c>
      <c r="S296" s="15" t="s">
        <v>26</v>
      </c>
      <c r="T296" s="15" t="s">
        <v>22</v>
      </c>
    </row>
    <row r="297" spans="1:20" s="12" customFormat="1" ht="30" customHeight="1" thickTop="1" thickBot="1" x14ac:dyDescent="0.4">
      <c r="A297" s="7">
        <v>1296</v>
      </c>
      <c r="B297" s="8">
        <v>45953</v>
      </c>
      <c r="C297" s="14" t="s">
        <v>23</v>
      </c>
      <c r="D297" s="14" t="s">
        <v>18</v>
      </c>
      <c r="E297" s="14" t="s">
        <v>34</v>
      </c>
      <c r="F297" s="14" t="s">
        <v>32</v>
      </c>
      <c r="G297" s="7">
        <v>6</v>
      </c>
      <c r="H297" s="7">
        <v>4000</v>
      </c>
      <c r="I297" s="9">
        <v>5</v>
      </c>
      <c r="J297" s="10">
        <f>SALCE[[#This Row],[After_Discount]]*SALCE[[#This Row],[Tax_%]]/100</f>
        <v>31.920000000000005</v>
      </c>
      <c r="K297" s="11">
        <v>0.14000000000000001</v>
      </c>
      <c r="L297" s="10">
        <f>SALCE[[#This Row],[Quantity]]*SALCE[[#This Row],[Unit_Price]]</f>
        <v>24000</v>
      </c>
      <c r="M297" s="10">
        <f>SALCE[[#This Row],[Gross_Sales]]*SALCE[[#This Row],[Discount_%]]/100</f>
        <v>1200</v>
      </c>
      <c r="N297" s="10">
        <f>SALCE[[#This Row],[After_Discount]]+SALCE[[#This Row],[Tax_Value]]</f>
        <v>22831.919999999998</v>
      </c>
      <c r="O297" s="10">
        <f>SALCE[[#This Row],[Gross_Sales]]*70%</f>
        <v>16800</v>
      </c>
      <c r="P297" s="10">
        <f>SALCE[[#This Row],[Net_Sales]]-SALCE[[#This Row],[Cost_Price]]</f>
        <v>6031.9199999999983</v>
      </c>
      <c r="Q297" s="10">
        <f>SALCE[[#This Row],[Gross_Sales]]-SALCE[[#This Row],[Discount_Value]]</f>
        <v>22800</v>
      </c>
      <c r="R297" s="15" t="s">
        <v>49</v>
      </c>
      <c r="S297" s="15" t="s">
        <v>37</v>
      </c>
      <c r="T297" s="15" t="s">
        <v>22</v>
      </c>
    </row>
    <row r="298" spans="1:20" s="12" customFormat="1" ht="30" customHeight="1" thickTop="1" thickBot="1" x14ac:dyDescent="0.4">
      <c r="A298" s="7">
        <v>1297</v>
      </c>
      <c r="B298" s="8">
        <v>45954</v>
      </c>
      <c r="C298" s="14" t="s">
        <v>28</v>
      </c>
      <c r="D298" s="14" t="s">
        <v>36</v>
      </c>
      <c r="E298" s="14" t="s">
        <v>33</v>
      </c>
      <c r="F298" s="14" t="s">
        <v>32</v>
      </c>
      <c r="G298" s="7">
        <v>7</v>
      </c>
      <c r="H298" s="7">
        <v>6000</v>
      </c>
      <c r="I298" s="9">
        <v>10</v>
      </c>
      <c r="J298" s="10">
        <f>SALCE[[#This Row],[After_Discount]]*SALCE[[#This Row],[Tax_%]]/100</f>
        <v>52.920000000000009</v>
      </c>
      <c r="K298" s="11">
        <v>0.14000000000000001</v>
      </c>
      <c r="L298" s="10">
        <f>SALCE[[#This Row],[Quantity]]*SALCE[[#This Row],[Unit_Price]]</f>
        <v>42000</v>
      </c>
      <c r="M298" s="10">
        <f>SALCE[[#This Row],[Gross_Sales]]*SALCE[[#This Row],[Discount_%]]/100</f>
        <v>4200</v>
      </c>
      <c r="N298" s="10">
        <f>SALCE[[#This Row],[After_Discount]]+SALCE[[#This Row],[Tax_Value]]</f>
        <v>37852.92</v>
      </c>
      <c r="O298" s="10">
        <f>SALCE[[#This Row],[Gross_Sales]]*70%</f>
        <v>29399.999999999996</v>
      </c>
      <c r="P298" s="10">
        <f>SALCE[[#This Row],[Net_Sales]]-SALCE[[#This Row],[Cost_Price]]</f>
        <v>8452.9200000000019</v>
      </c>
      <c r="Q298" s="10">
        <f>SALCE[[#This Row],[Gross_Sales]]-SALCE[[#This Row],[Discount_Value]]</f>
        <v>37800</v>
      </c>
      <c r="R298" s="15" t="s">
        <v>51</v>
      </c>
      <c r="S298" s="15" t="s">
        <v>37</v>
      </c>
      <c r="T298" s="15" t="s">
        <v>22</v>
      </c>
    </row>
    <row r="299" spans="1:20" s="12" customFormat="1" ht="30" customHeight="1" thickTop="1" thickBot="1" x14ac:dyDescent="0.4">
      <c r="A299" s="7">
        <v>1298</v>
      </c>
      <c r="B299" s="8">
        <v>45955</v>
      </c>
      <c r="C299" s="14" t="s">
        <v>23</v>
      </c>
      <c r="D299" s="14" t="s">
        <v>24</v>
      </c>
      <c r="E299" s="14" t="s">
        <v>19</v>
      </c>
      <c r="F299" s="14" t="s">
        <v>20</v>
      </c>
      <c r="G299" s="7">
        <v>2</v>
      </c>
      <c r="H299" s="7">
        <v>300</v>
      </c>
      <c r="I299" s="9">
        <v>0</v>
      </c>
      <c r="J299" s="10">
        <f>SALCE[[#This Row],[After_Discount]]*SALCE[[#This Row],[Tax_%]]/100</f>
        <v>0.84000000000000019</v>
      </c>
      <c r="K299" s="11">
        <v>0.14000000000000001</v>
      </c>
      <c r="L299" s="10">
        <f>SALCE[[#This Row],[Quantity]]*SALCE[[#This Row],[Unit_Price]]</f>
        <v>600</v>
      </c>
      <c r="M299" s="10">
        <f>SALCE[[#This Row],[Gross_Sales]]*SALCE[[#This Row],[Discount_%]]/100</f>
        <v>0</v>
      </c>
      <c r="N299" s="10">
        <f>SALCE[[#This Row],[After_Discount]]+SALCE[[#This Row],[Tax_Value]]</f>
        <v>600.84</v>
      </c>
      <c r="O299" s="10">
        <f>SALCE[[#This Row],[Gross_Sales]]*70%</f>
        <v>420</v>
      </c>
      <c r="P299" s="10">
        <f>SALCE[[#This Row],[Net_Sales]]-SALCE[[#This Row],[Cost_Price]]</f>
        <v>180.84000000000003</v>
      </c>
      <c r="Q299" s="10">
        <f>SALCE[[#This Row],[Gross_Sales]]-SALCE[[#This Row],[Discount_Value]]</f>
        <v>600</v>
      </c>
      <c r="R299" s="15" t="s">
        <v>57</v>
      </c>
      <c r="S299" s="15" t="s">
        <v>21</v>
      </c>
      <c r="T299" s="15" t="s">
        <v>22</v>
      </c>
    </row>
    <row r="300" spans="1:20" s="12" customFormat="1" ht="30" customHeight="1" thickTop="1" thickBot="1" x14ac:dyDescent="0.4">
      <c r="A300" s="7">
        <v>1299</v>
      </c>
      <c r="B300" s="8">
        <v>45956</v>
      </c>
      <c r="C300" s="14" t="s">
        <v>30</v>
      </c>
      <c r="D300" s="14" t="s">
        <v>36</v>
      </c>
      <c r="E300" s="14" t="s">
        <v>31</v>
      </c>
      <c r="F300" s="14" t="s">
        <v>32</v>
      </c>
      <c r="G300" s="7">
        <v>3</v>
      </c>
      <c r="H300" s="7">
        <v>15000</v>
      </c>
      <c r="I300" s="9">
        <v>15</v>
      </c>
      <c r="J300" s="10">
        <f>SALCE[[#This Row],[After_Discount]]*SALCE[[#This Row],[Tax_%]]/100</f>
        <v>53.550000000000011</v>
      </c>
      <c r="K300" s="11">
        <v>0.14000000000000001</v>
      </c>
      <c r="L300" s="10">
        <f>SALCE[[#This Row],[Quantity]]*SALCE[[#This Row],[Unit_Price]]</f>
        <v>45000</v>
      </c>
      <c r="M300" s="10">
        <f>SALCE[[#This Row],[Gross_Sales]]*SALCE[[#This Row],[Discount_%]]/100</f>
        <v>6750</v>
      </c>
      <c r="N300" s="10">
        <f>SALCE[[#This Row],[After_Discount]]+SALCE[[#This Row],[Tax_Value]]</f>
        <v>38303.550000000003</v>
      </c>
      <c r="O300" s="10">
        <f>SALCE[[#This Row],[Gross_Sales]]*70%</f>
        <v>31499.999999999996</v>
      </c>
      <c r="P300" s="10">
        <f>SALCE[[#This Row],[Net_Sales]]-SALCE[[#This Row],[Cost_Price]]</f>
        <v>6803.5500000000065</v>
      </c>
      <c r="Q300" s="10">
        <f>SALCE[[#This Row],[Gross_Sales]]-SALCE[[#This Row],[Discount_Value]]</f>
        <v>38250</v>
      </c>
      <c r="R300" s="15" t="s">
        <v>56</v>
      </c>
      <c r="S300" s="15" t="s">
        <v>37</v>
      </c>
      <c r="T300" s="15" t="s">
        <v>22</v>
      </c>
    </row>
    <row r="301" spans="1:20" s="12" customFormat="1" ht="30" customHeight="1" thickTop="1" thickBot="1" x14ac:dyDescent="0.4">
      <c r="A301" s="7">
        <v>1300</v>
      </c>
      <c r="B301" s="8">
        <v>45957</v>
      </c>
      <c r="C301" s="14" t="s">
        <v>30</v>
      </c>
      <c r="D301" s="14" t="s">
        <v>38</v>
      </c>
      <c r="E301" s="14" t="s">
        <v>19</v>
      </c>
      <c r="F301" s="14" t="s">
        <v>20</v>
      </c>
      <c r="G301" s="7">
        <v>6</v>
      </c>
      <c r="H301" s="7">
        <v>300</v>
      </c>
      <c r="I301" s="9">
        <v>5</v>
      </c>
      <c r="J301" s="10">
        <f>SALCE[[#This Row],[After_Discount]]*SALCE[[#This Row],[Tax_%]]/100</f>
        <v>2.3940000000000001</v>
      </c>
      <c r="K301" s="11">
        <v>0.14000000000000001</v>
      </c>
      <c r="L301" s="10">
        <f>SALCE[[#This Row],[Quantity]]*SALCE[[#This Row],[Unit_Price]]</f>
        <v>1800</v>
      </c>
      <c r="M301" s="10">
        <f>SALCE[[#This Row],[Gross_Sales]]*SALCE[[#This Row],[Discount_%]]/100</f>
        <v>90</v>
      </c>
      <c r="N301" s="10">
        <f>SALCE[[#This Row],[After_Discount]]+SALCE[[#This Row],[Tax_Value]]</f>
        <v>1712.394</v>
      </c>
      <c r="O301" s="10">
        <f>SALCE[[#This Row],[Gross_Sales]]*70%</f>
        <v>1260</v>
      </c>
      <c r="P301" s="10">
        <f>SALCE[[#This Row],[Net_Sales]]-SALCE[[#This Row],[Cost_Price]]</f>
        <v>452.39400000000001</v>
      </c>
      <c r="Q301" s="10">
        <f>SALCE[[#This Row],[Gross_Sales]]-SALCE[[#This Row],[Discount_Value]]</f>
        <v>1710</v>
      </c>
      <c r="R301" s="15" t="s">
        <v>59</v>
      </c>
      <c r="S301" s="15" t="s">
        <v>26</v>
      </c>
      <c r="T301" s="15" t="s">
        <v>22</v>
      </c>
    </row>
    <row r="302" spans="1:20" s="12" customFormat="1" ht="30" customHeight="1" thickTop="1" thickBot="1" x14ac:dyDescent="0.4">
      <c r="A302" s="7">
        <v>1301</v>
      </c>
      <c r="B302" s="8">
        <v>45958</v>
      </c>
      <c r="C302" s="14" t="s">
        <v>30</v>
      </c>
      <c r="D302" s="14" t="s">
        <v>24</v>
      </c>
      <c r="E302" s="14" t="s">
        <v>33</v>
      </c>
      <c r="F302" s="14" t="s">
        <v>32</v>
      </c>
      <c r="G302" s="7">
        <v>9</v>
      </c>
      <c r="H302" s="7">
        <v>6000</v>
      </c>
      <c r="I302" s="9">
        <v>0</v>
      </c>
      <c r="J302" s="10">
        <f>SALCE[[#This Row],[After_Discount]]*SALCE[[#This Row],[Tax_%]]/100</f>
        <v>75.600000000000009</v>
      </c>
      <c r="K302" s="11">
        <v>0.14000000000000001</v>
      </c>
      <c r="L302" s="10">
        <f>SALCE[[#This Row],[Quantity]]*SALCE[[#This Row],[Unit_Price]]</f>
        <v>54000</v>
      </c>
      <c r="M302" s="10">
        <f>SALCE[[#This Row],[Gross_Sales]]*SALCE[[#This Row],[Discount_%]]/100</f>
        <v>0</v>
      </c>
      <c r="N302" s="10">
        <f>SALCE[[#This Row],[After_Discount]]+SALCE[[#This Row],[Tax_Value]]</f>
        <v>54075.6</v>
      </c>
      <c r="O302" s="10">
        <f>SALCE[[#This Row],[Gross_Sales]]*70%</f>
        <v>37800</v>
      </c>
      <c r="P302" s="10">
        <f>SALCE[[#This Row],[Net_Sales]]-SALCE[[#This Row],[Cost_Price]]</f>
        <v>16275.599999999999</v>
      </c>
      <c r="Q302" s="10">
        <f>SALCE[[#This Row],[Gross_Sales]]-SALCE[[#This Row],[Discount_Value]]</f>
        <v>54000</v>
      </c>
      <c r="R302" s="15" t="s">
        <v>61</v>
      </c>
      <c r="S302" s="15" t="s">
        <v>26</v>
      </c>
      <c r="T302" s="15" t="s">
        <v>22</v>
      </c>
    </row>
    <row r="303" spans="1:20" s="12" customFormat="1" ht="30" customHeight="1" thickTop="1" thickBot="1" x14ac:dyDescent="0.4">
      <c r="A303" s="7">
        <v>1302</v>
      </c>
      <c r="B303" s="8">
        <v>45959</v>
      </c>
      <c r="C303" s="14" t="s">
        <v>30</v>
      </c>
      <c r="D303" s="14" t="s">
        <v>41</v>
      </c>
      <c r="E303" s="14" t="s">
        <v>31</v>
      </c>
      <c r="F303" s="14" t="s">
        <v>32</v>
      </c>
      <c r="G303" s="7">
        <v>8</v>
      </c>
      <c r="H303" s="7">
        <v>15000</v>
      </c>
      <c r="I303" s="9">
        <v>10</v>
      </c>
      <c r="J303" s="10">
        <f>SALCE[[#This Row],[After_Discount]]*SALCE[[#This Row],[Tax_%]]/100</f>
        <v>151.20000000000002</v>
      </c>
      <c r="K303" s="11">
        <v>0.14000000000000001</v>
      </c>
      <c r="L303" s="10">
        <f>SALCE[[#This Row],[Quantity]]*SALCE[[#This Row],[Unit_Price]]</f>
        <v>120000</v>
      </c>
      <c r="M303" s="10">
        <f>SALCE[[#This Row],[Gross_Sales]]*SALCE[[#This Row],[Discount_%]]/100</f>
        <v>12000</v>
      </c>
      <c r="N303" s="10">
        <f>SALCE[[#This Row],[After_Discount]]+SALCE[[#This Row],[Tax_Value]]</f>
        <v>108151.2</v>
      </c>
      <c r="O303" s="10">
        <f>SALCE[[#This Row],[Gross_Sales]]*70%</f>
        <v>84000</v>
      </c>
      <c r="P303" s="10">
        <f>SALCE[[#This Row],[Net_Sales]]-SALCE[[#This Row],[Cost_Price]]</f>
        <v>24151.199999999997</v>
      </c>
      <c r="Q303" s="10">
        <f>SALCE[[#This Row],[Gross_Sales]]-SALCE[[#This Row],[Discount_Value]]</f>
        <v>108000</v>
      </c>
      <c r="R303" s="15" t="s">
        <v>50</v>
      </c>
      <c r="S303" s="15" t="s">
        <v>37</v>
      </c>
      <c r="T303" s="15" t="s">
        <v>22</v>
      </c>
    </row>
    <row r="304" spans="1:20" s="12" customFormat="1" ht="30" customHeight="1" thickTop="1" thickBot="1" x14ac:dyDescent="0.4">
      <c r="A304" s="7">
        <v>1303</v>
      </c>
      <c r="B304" s="8">
        <v>45960</v>
      </c>
      <c r="C304" s="14" t="s">
        <v>39</v>
      </c>
      <c r="D304" s="14" t="s">
        <v>41</v>
      </c>
      <c r="E304" s="14" t="s">
        <v>33</v>
      </c>
      <c r="F304" s="14" t="s">
        <v>32</v>
      </c>
      <c r="G304" s="7">
        <v>2</v>
      </c>
      <c r="H304" s="7">
        <v>6000</v>
      </c>
      <c r="I304" s="9">
        <v>15</v>
      </c>
      <c r="J304" s="10">
        <f>SALCE[[#This Row],[After_Discount]]*SALCE[[#This Row],[Tax_%]]/100</f>
        <v>14.280000000000003</v>
      </c>
      <c r="K304" s="11">
        <v>0.14000000000000001</v>
      </c>
      <c r="L304" s="10">
        <f>SALCE[[#This Row],[Quantity]]*SALCE[[#This Row],[Unit_Price]]</f>
        <v>12000</v>
      </c>
      <c r="M304" s="10">
        <f>SALCE[[#This Row],[Gross_Sales]]*SALCE[[#This Row],[Discount_%]]/100</f>
        <v>1800</v>
      </c>
      <c r="N304" s="10">
        <f>SALCE[[#This Row],[After_Discount]]+SALCE[[#This Row],[Tax_Value]]</f>
        <v>10214.280000000001</v>
      </c>
      <c r="O304" s="10">
        <f>SALCE[[#This Row],[Gross_Sales]]*70%</f>
        <v>8400</v>
      </c>
      <c r="P304" s="10">
        <f>SALCE[[#This Row],[Net_Sales]]-SALCE[[#This Row],[Cost_Price]]</f>
        <v>1814.2800000000007</v>
      </c>
      <c r="Q304" s="10">
        <f>SALCE[[#This Row],[Gross_Sales]]-SALCE[[#This Row],[Discount_Value]]</f>
        <v>10200</v>
      </c>
      <c r="R304" s="15" t="s">
        <v>60</v>
      </c>
      <c r="S304" s="15" t="s">
        <v>26</v>
      </c>
      <c r="T304" s="15" t="s">
        <v>22</v>
      </c>
    </row>
    <row r="305" spans="1:20" s="12" customFormat="1" ht="30" customHeight="1" thickTop="1" thickBot="1" x14ac:dyDescent="0.4">
      <c r="A305" s="7">
        <v>1304</v>
      </c>
      <c r="B305" s="8">
        <v>45961</v>
      </c>
      <c r="C305" s="14" t="s">
        <v>30</v>
      </c>
      <c r="D305" s="14" t="s">
        <v>18</v>
      </c>
      <c r="E305" s="14" t="s">
        <v>25</v>
      </c>
      <c r="F305" s="14" t="s">
        <v>20</v>
      </c>
      <c r="G305" s="7">
        <v>9</v>
      </c>
      <c r="H305" s="7">
        <v>500</v>
      </c>
      <c r="I305" s="9">
        <v>5</v>
      </c>
      <c r="J305" s="10">
        <f>SALCE[[#This Row],[After_Discount]]*SALCE[[#This Row],[Tax_%]]/100</f>
        <v>5.9850000000000012</v>
      </c>
      <c r="K305" s="11">
        <v>0.14000000000000001</v>
      </c>
      <c r="L305" s="10">
        <f>SALCE[[#This Row],[Quantity]]*SALCE[[#This Row],[Unit_Price]]</f>
        <v>4500</v>
      </c>
      <c r="M305" s="10">
        <f>SALCE[[#This Row],[Gross_Sales]]*SALCE[[#This Row],[Discount_%]]/100</f>
        <v>225</v>
      </c>
      <c r="N305" s="10">
        <f>SALCE[[#This Row],[After_Discount]]+SALCE[[#This Row],[Tax_Value]]</f>
        <v>4280.9849999999997</v>
      </c>
      <c r="O305" s="10">
        <f>SALCE[[#This Row],[Gross_Sales]]*70%</f>
        <v>3150</v>
      </c>
      <c r="P305" s="10">
        <f>SALCE[[#This Row],[Net_Sales]]-SALCE[[#This Row],[Cost_Price]]</f>
        <v>1130.9849999999997</v>
      </c>
      <c r="Q305" s="10">
        <f>SALCE[[#This Row],[Gross_Sales]]-SALCE[[#This Row],[Discount_Value]]</f>
        <v>4275</v>
      </c>
      <c r="R305" s="15" t="s">
        <v>57</v>
      </c>
      <c r="S305" s="15" t="s">
        <v>26</v>
      </c>
      <c r="T305" s="15" t="s">
        <v>22</v>
      </c>
    </row>
    <row r="306" spans="1:20" s="12" customFormat="1" ht="30" customHeight="1" thickTop="1" thickBot="1" x14ac:dyDescent="0.4">
      <c r="A306" s="7">
        <v>1305</v>
      </c>
      <c r="B306" s="8">
        <v>45962</v>
      </c>
      <c r="C306" s="14" t="s">
        <v>23</v>
      </c>
      <c r="D306" s="14" t="s">
        <v>38</v>
      </c>
      <c r="E306" s="14" t="s">
        <v>40</v>
      </c>
      <c r="F306" s="14" t="s">
        <v>20</v>
      </c>
      <c r="G306" s="7">
        <v>5</v>
      </c>
      <c r="H306" s="7">
        <v>800</v>
      </c>
      <c r="I306" s="9">
        <v>10</v>
      </c>
      <c r="J306" s="10">
        <f>SALCE[[#This Row],[After_Discount]]*SALCE[[#This Row],[Tax_%]]/100</f>
        <v>5.0400000000000009</v>
      </c>
      <c r="K306" s="11">
        <v>0.14000000000000001</v>
      </c>
      <c r="L306" s="10">
        <f>SALCE[[#This Row],[Quantity]]*SALCE[[#This Row],[Unit_Price]]</f>
        <v>4000</v>
      </c>
      <c r="M306" s="10">
        <f>SALCE[[#This Row],[Gross_Sales]]*SALCE[[#This Row],[Discount_%]]/100</f>
        <v>400</v>
      </c>
      <c r="N306" s="10">
        <f>SALCE[[#This Row],[After_Discount]]+SALCE[[#This Row],[Tax_Value]]</f>
        <v>3605.04</v>
      </c>
      <c r="O306" s="10">
        <f>SALCE[[#This Row],[Gross_Sales]]*70%</f>
        <v>2800</v>
      </c>
      <c r="P306" s="10">
        <f>SALCE[[#This Row],[Net_Sales]]-SALCE[[#This Row],[Cost_Price]]</f>
        <v>805.04</v>
      </c>
      <c r="Q306" s="10">
        <f>SALCE[[#This Row],[Gross_Sales]]-SALCE[[#This Row],[Discount_Value]]</f>
        <v>3600</v>
      </c>
      <c r="R306" s="15" t="s">
        <v>56</v>
      </c>
      <c r="S306" s="15" t="s">
        <v>21</v>
      </c>
      <c r="T306" s="15" t="s">
        <v>27</v>
      </c>
    </row>
    <row r="307" spans="1:20" s="12" customFormat="1" ht="30" customHeight="1" thickTop="1" thickBot="1" x14ac:dyDescent="0.4">
      <c r="A307" s="7">
        <v>1306</v>
      </c>
      <c r="B307" s="8">
        <v>45963</v>
      </c>
      <c r="C307" s="14" t="s">
        <v>39</v>
      </c>
      <c r="D307" s="14" t="s">
        <v>36</v>
      </c>
      <c r="E307" s="14" t="s">
        <v>34</v>
      </c>
      <c r="F307" s="14" t="s">
        <v>32</v>
      </c>
      <c r="G307" s="7">
        <v>10</v>
      </c>
      <c r="H307" s="7">
        <v>4000</v>
      </c>
      <c r="I307" s="9">
        <v>0</v>
      </c>
      <c r="J307" s="10">
        <f>SALCE[[#This Row],[After_Discount]]*SALCE[[#This Row],[Tax_%]]/100</f>
        <v>56.000000000000007</v>
      </c>
      <c r="K307" s="11">
        <v>0.14000000000000001</v>
      </c>
      <c r="L307" s="10">
        <f>SALCE[[#This Row],[Quantity]]*SALCE[[#This Row],[Unit_Price]]</f>
        <v>40000</v>
      </c>
      <c r="M307" s="10">
        <f>SALCE[[#This Row],[Gross_Sales]]*SALCE[[#This Row],[Discount_%]]/100</f>
        <v>0</v>
      </c>
      <c r="N307" s="10">
        <f>SALCE[[#This Row],[After_Discount]]+SALCE[[#This Row],[Tax_Value]]</f>
        <v>40056</v>
      </c>
      <c r="O307" s="10">
        <f>SALCE[[#This Row],[Gross_Sales]]*70%</f>
        <v>28000</v>
      </c>
      <c r="P307" s="10">
        <f>SALCE[[#This Row],[Net_Sales]]-SALCE[[#This Row],[Cost_Price]]</f>
        <v>12056</v>
      </c>
      <c r="Q307" s="10">
        <f>SALCE[[#This Row],[Gross_Sales]]-SALCE[[#This Row],[Discount_Value]]</f>
        <v>40000</v>
      </c>
      <c r="R307" s="15" t="s">
        <v>53</v>
      </c>
      <c r="S307" s="15" t="s">
        <v>26</v>
      </c>
      <c r="T307" s="15" t="s">
        <v>22</v>
      </c>
    </row>
    <row r="308" spans="1:20" s="12" customFormat="1" ht="30" customHeight="1" thickTop="1" thickBot="1" x14ac:dyDescent="0.4">
      <c r="A308" s="7">
        <v>1307</v>
      </c>
      <c r="B308" s="8">
        <v>45964</v>
      </c>
      <c r="C308" s="14" t="s">
        <v>30</v>
      </c>
      <c r="D308" s="14" t="s">
        <v>24</v>
      </c>
      <c r="E308" s="14" t="s">
        <v>40</v>
      </c>
      <c r="F308" s="14" t="s">
        <v>20</v>
      </c>
      <c r="G308" s="7">
        <v>8</v>
      </c>
      <c r="H308" s="7">
        <v>800</v>
      </c>
      <c r="I308" s="9">
        <v>15</v>
      </c>
      <c r="J308" s="10">
        <f>SALCE[[#This Row],[After_Discount]]*SALCE[[#This Row],[Tax_%]]/100</f>
        <v>7.6160000000000005</v>
      </c>
      <c r="K308" s="11">
        <v>0.14000000000000001</v>
      </c>
      <c r="L308" s="10">
        <f>SALCE[[#This Row],[Quantity]]*SALCE[[#This Row],[Unit_Price]]</f>
        <v>6400</v>
      </c>
      <c r="M308" s="10">
        <f>SALCE[[#This Row],[Gross_Sales]]*SALCE[[#This Row],[Discount_%]]/100</f>
        <v>960</v>
      </c>
      <c r="N308" s="10">
        <f>SALCE[[#This Row],[After_Discount]]+SALCE[[#This Row],[Tax_Value]]</f>
        <v>5447.616</v>
      </c>
      <c r="O308" s="10">
        <f>SALCE[[#This Row],[Gross_Sales]]*70%</f>
        <v>4480</v>
      </c>
      <c r="P308" s="10">
        <f>SALCE[[#This Row],[Net_Sales]]-SALCE[[#This Row],[Cost_Price]]</f>
        <v>967.61599999999999</v>
      </c>
      <c r="Q308" s="10">
        <f>SALCE[[#This Row],[Gross_Sales]]-SALCE[[#This Row],[Discount_Value]]</f>
        <v>5440</v>
      </c>
      <c r="R308" s="15" t="s">
        <v>50</v>
      </c>
      <c r="S308" s="15" t="s">
        <v>21</v>
      </c>
      <c r="T308" s="15" t="s">
        <v>27</v>
      </c>
    </row>
    <row r="309" spans="1:20" s="12" customFormat="1" ht="30" customHeight="1" thickTop="1" thickBot="1" x14ac:dyDescent="0.4">
      <c r="A309" s="7">
        <v>1308</v>
      </c>
      <c r="B309" s="8">
        <v>45965</v>
      </c>
      <c r="C309" s="14" t="s">
        <v>17</v>
      </c>
      <c r="D309" s="14" t="s">
        <v>41</v>
      </c>
      <c r="E309" s="14" t="s">
        <v>19</v>
      </c>
      <c r="F309" s="14" t="s">
        <v>20</v>
      </c>
      <c r="G309" s="7">
        <v>2</v>
      </c>
      <c r="H309" s="7">
        <v>300</v>
      </c>
      <c r="I309" s="9">
        <v>5</v>
      </c>
      <c r="J309" s="10">
        <f>SALCE[[#This Row],[After_Discount]]*SALCE[[#This Row],[Tax_%]]/100</f>
        <v>0.79800000000000015</v>
      </c>
      <c r="K309" s="11">
        <v>0.14000000000000001</v>
      </c>
      <c r="L309" s="10">
        <f>SALCE[[#This Row],[Quantity]]*SALCE[[#This Row],[Unit_Price]]</f>
        <v>600</v>
      </c>
      <c r="M309" s="10">
        <f>SALCE[[#This Row],[Gross_Sales]]*SALCE[[#This Row],[Discount_%]]/100</f>
        <v>30</v>
      </c>
      <c r="N309" s="10">
        <f>SALCE[[#This Row],[After_Discount]]+SALCE[[#This Row],[Tax_Value]]</f>
        <v>570.798</v>
      </c>
      <c r="O309" s="10">
        <f>SALCE[[#This Row],[Gross_Sales]]*70%</f>
        <v>420</v>
      </c>
      <c r="P309" s="10">
        <f>SALCE[[#This Row],[Net_Sales]]-SALCE[[#This Row],[Cost_Price]]</f>
        <v>150.798</v>
      </c>
      <c r="Q309" s="10">
        <f>SALCE[[#This Row],[Gross_Sales]]-SALCE[[#This Row],[Discount_Value]]</f>
        <v>570</v>
      </c>
      <c r="R309" s="15" t="s">
        <v>62</v>
      </c>
      <c r="S309" s="15" t="s">
        <v>37</v>
      </c>
      <c r="T309" s="15" t="s">
        <v>22</v>
      </c>
    </row>
    <row r="310" spans="1:20" s="12" customFormat="1" ht="30" customHeight="1" thickTop="1" thickBot="1" x14ac:dyDescent="0.4">
      <c r="A310" s="7">
        <v>1309</v>
      </c>
      <c r="B310" s="8">
        <v>45966</v>
      </c>
      <c r="C310" s="14" t="s">
        <v>30</v>
      </c>
      <c r="D310" s="14" t="s">
        <v>29</v>
      </c>
      <c r="E310" s="14" t="s">
        <v>25</v>
      </c>
      <c r="F310" s="14" t="s">
        <v>20</v>
      </c>
      <c r="G310" s="7">
        <v>9</v>
      </c>
      <c r="H310" s="7">
        <v>500</v>
      </c>
      <c r="I310" s="9">
        <v>10</v>
      </c>
      <c r="J310" s="10">
        <f>SALCE[[#This Row],[After_Discount]]*SALCE[[#This Row],[Tax_%]]/100</f>
        <v>5.67</v>
      </c>
      <c r="K310" s="11">
        <v>0.14000000000000001</v>
      </c>
      <c r="L310" s="10">
        <f>SALCE[[#This Row],[Quantity]]*SALCE[[#This Row],[Unit_Price]]</f>
        <v>4500</v>
      </c>
      <c r="M310" s="10">
        <f>SALCE[[#This Row],[Gross_Sales]]*SALCE[[#This Row],[Discount_%]]/100</f>
        <v>450</v>
      </c>
      <c r="N310" s="10">
        <f>SALCE[[#This Row],[After_Discount]]+SALCE[[#This Row],[Tax_Value]]</f>
        <v>4055.67</v>
      </c>
      <c r="O310" s="10">
        <f>SALCE[[#This Row],[Gross_Sales]]*70%</f>
        <v>3150</v>
      </c>
      <c r="P310" s="10">
        <f>SALCE[[#This Row],[Net_Sales]]-SALCE[[#This Row],[Cost_Price]]</f>
        <v>905.67000000000007</v>
      </c>
      <c r="Q310" s="10">
        <f>SALCE[[#This Row],[Gross_Sales]]-SALCE[[#This Row],[Discount_Value]]</f>
        <v>4050</v>
      </c>
      <c r="R310" s="15" t="s">
        <v>57</v>
      </c>
      <c r="S310" s="15" t="s">
        <v>37</v>
      </c>
      <c r="T310" s="15" t="s">
        <v>27</v>
      </c>
    </row>
    <row r="311" spans="1:20" s="12" customFormat="1" ht="30" customHeight="1" thickTop="1" thickBot="1" x14ac:dyDescent="0.4">
      <c r="A311" s="7">
        <v>1310</v>
      </c>
      <c r="B311" s="8">
        <v>45967</v>
      </c>
      <c r="C311" s="14" t="s">
        <v>17</v>
      </c>
      <c r="D311" s="14" t="s">
        <v>36</v>
      </c>
      <c r="E311" s="14" t="s">
        <v>19</v>
      </c>
      <c r="F311" s="14" t="s">
        <v>20</v>
      </c>
      <c r="G311" s="7">
        <v>6</v>
      </c>
      <c r="H311" s="7">
        <v>300</v>
      </c>
      <c r="I311" s="9">
        <v>15</v>
      </c>
      <c r="J311" s="10">
        <f>SALCE[[#This Row],[After_Discount]]*SALCE[[#This Row],[Tax_%]]/100</f>
        <v>2.1420000000000003</v>
      </c>
      <c r="K311" s="11">
        <v>0.14000000000000001</v>
      </c>
      <c r="L311" s="10">
        <f>SALCE[[#This Row],[Quantity]]*SALCE[[#This Row],[Unit_Price]]</f>
        <v>1800</v>
      </c>
      <c r="M311" s="10">
        <f>SALCE[[#This Row],[Gross_Sales]]*SALCE[[#This Row],[Discount_%]]/100</f>
        <v>270</v>
      </c>
      <c r="N311" s="10">
        <f>SALCE[[#This Row],[After_Discount]]+SALCE[[#This Row],[Tax_Value]]</f>
        <v>1532.1420000000001</v>
      </c>
      <c r="O311" s="10">
        <f>SALCE[[#This Row],[Gross_Sales]]*70%</f>
        <v>1260</v>
      </c>
      <c r="P311" s="10">
        <f>SALCE[[#This Row],[Net_Sales]]-SALCE[[#This Row],[Cost_Price]]</f>
        <v>272.14200000000005</v>
      </c>
      <c r="Q311" s="10">
        <f>SALCE[[#This Row],[Gross_Sales]]-SALCE[[#This Row],[Discount_Value]]</f>
        <v>1530</v>
      </c>
      <c r="R311" s="15" t="s">
        <v>57</v>
      </c>
      <c r="S311" s="15" t="s">
        <v>26</v>
      </c>
      <c r="T311" s="15" t="s">
        <v>27</v>
      </c>
    </row>
    <row r="312" spans="1:20" s="12" customFormat="1" ht="30" customHeight="1" thickTop="1" thickBot="1" x14ac:dyDescent="0.4">
      <c r="A312" s="7">
        <v>1311</v>
      </c>
      <c r="B312" s="8">
        <v>45968</v>
      </c>
      <c r="C312" s="14" t="s">
        <v>23</v>
      </c>
      <c r="D312" s="14" t="s">
        <v>38</v>
      </c>
      <c r="E312" s="14" t="s">
        <v>19</v>
      </c>
      <c r="F312" s="14" t="s">
        <v>20</v>
      </c>
      <c r="G312" s="7">
        <v>3</v>
      </c>
      <c r="H312" s="7">
        <v>300</v>
      </c>
      <c r="I312" s="9">
        <v>5</v>
      </c>
      <c r="J312" s="10">
        <f>SALCE[[#This Row],[After_Discount]]*SALCE[[#This Row],[Tax_%]]/100</f>
        <v>1.1970000000000001</v>
      </c>
      <c r="K312" s="11">
        <v>0.14000000000000001</v>
      </c>
      <c r="L312" s="10">
        <f>SALCE[[#This Row],[Quantity]]*SALCE[[#This Row],[Unit_Price]]</f>
        <v>900</v>
      </c>
      <c r="M312" s="10">
        <f>SALCE[[#This Row],[Gross_Sales]]*SALCE[[#This Row],[Discount_%]]/100</f>
        <v>45</v>
      </c>
      <c r="N312" s="10">
        <f>SALCE[[#This Row],[After_Discount]]+SALCE[[#This Row],[Tax_Value]]</f>
        <v>856.197</v>
      </c>
      <c r="O312" s="10">
        <f>SALCE[[#This Row],[Gross_Sales]]*70%</f>
        <v>630</v>
      </c>
      <c r="P312" s="10">
        <f>SALCE[[#This Row],[Net_Sales]]-SALCE[[#This Row],[Cost_Price]]</f>
        <v>226.197</v>
      </c>
      <c r="Q312" s="10">
        <f>SALCE[[#This Row],[Gross_Sales]]-SALCE[[#This Row],[Discount_Value]]</f>
        <v>855</v>
      </c>
      <c r="R312" s="15" t="s">
        <v>58</v>
      </c>
      <c r="S312" s="15" t="s">
        <v>26</v>
      </c>
      <c r="T312" s="15" t="s">
        <v>22</v>
      </c>
    </row>
    <row r="313" spans="1:20" s="12" customFormat="1" ht="30" customHeight="1" thickTop="1" thickBot="1" x14ac:dyDescent="0.4">
      <c r="A313" s="7">
        <v>1312</v>
      </c>
      <c r="B313" s="8">
        <v>45969</v>
      </c>
      <c r="C313" s="14" t="s">
        <v>17</v>
      </c>
      <c r="D313" s="14" t="s">
        <v>41</v>
      </c>
      <c r="E313" s="14" t="s">
        <v>40</v>
      </c>
      <c r="F313" s="14" t="s">
        <v>20</v>
      </c>
      <c r="G313" s="7">
        <v>2</v>
      </c>
      <c r="H313" s="7">
        <v>800</v>
      </c>
      <c r="I313" s="9">
        <v>10</v>
      </c>
      <c r="J313" s="10">
        <f>SALCE[[#This Row],[After_Discount]]*SALCE[[#This Row],[Tax_%]]/100</f>
        <v>2.016</v>
      </c>
      <c r="K313" s="11">
        <v>0.14000000000000001</v>
      </c>
      <c r="L313" s="10">
        <f>SALCE[[#This Row],[Quantity]]*SALCE[[#This Row],[Unit_Price]]</f>
        <v>1600</v>
      </c>
      <c r="M313" s="10">
        <f>SALCE[[#This Row],[Gross_Sales]]*SALCE[[#This Row],[Discount_%]]/100</f>
        <v>160</v>
      </c>
      <c r="N313" s="10">
        <f>SALCE[[#This Row],[After_Discount]]+SALCE[[#This Row],[Tax_Value]]</f>
        <v>1442.0160000000001</v>
      </c>
      <c r="O313" s="10">
        <f>SALCE[[#This Row],[Gross_Sales]]*70%</f>
        <v>1120</v>
      </c>
      <c r="P313" s="10">
        <f>SALCE[[#This Row],[Net_Sales]]-SALCE[[#This Row],[Cost_Price]]</f>
        <v>322.01600000000008</v>
      </c>
      <c r="Q313" s="10">
        <f>SALCE[[#This Row],[Gross_Sales]]-SALCE[[#This Row],[Discount_Value]]</f>
        <v>1440</v>
      </c>
      <c r="R313" s="15" t="s">
        <v>59</v>
      </c>
      <c r="S313" s="15" t="s">
        <v>26</v>
      </c>
      <c r="T313" s="15" t="s">
        <v>27</v>
      </c>
    </row>
    <row r="314" spans="1:20" s="12" customFormat="1" ht="30" customHeight="1" thickTop="1" thickBot="1" x14ac:dyDescent="0.4">
      <c r="A314" s="7">
        <v>1313</v>
      </c>
      <c r="B314" s="8">
        <v>45970</v>
      </c>
      <c r="C314" s="14" t="s">
        <v>35</v>
      </c>
      <c r="D314" s="14" t="s">
        <v>24</v>
      </c>
      <c r="E314" s="14" t="s">
        <v>25</v>
      </c>
      <c r="F314" s="14" t="s">
        <v>20</v>
      </c>
      <c r="G314" s="7">
        <v>9</v>
      </c>
      <c r="H314" s="7">
        <v>500</v>
      </c>
      <c r="I314" s="9">
        <v>0</v>
      </c>
      <c r="J314" s="10">
        <f>SALCE[[#This Row],[After_Discount]]*SALCE[[#This Row],[Tax_%]]/100</f>
        <v>6.3000000000000007</v>
      </c>
      <c r="K314" s="11">
        <v>0.14000000000000001</v>
      </c>
      <c r="L314" s="10">
        <f>SALCE[[#This Row],[Quantity]]*SALCE[[#This Row],[Unit_Price]]</f>
        <v>4500</v>
      </c>
      <c r="M314" s="10">
        <f>SALCE[[#This Row],[Gross_Sales]]*SALCE[[#This Row],[Discount_%]]/100</f>
        <v>0</v>
      </c>
      <c r="N314" s="10">
        <f>SALCE[[#This Row],[After_Discount]]+SALCE[[#This Row],[Tax_Value]]</f>
        <v>4506.3</v>
      </c>
      <c r="O314" s="10">
        <f>SALCE[[#This Row],[Gross_Sales]]*70%</f>
        <v>3150</v>
      </c>
      <c r="P314" s="10">
        <f>SALCE[[#This Row],[Net_Sales]]-SALCE[[#This Row],[Cost_Price]]</f>
        <v>1356.3000000000002</v>
      </c>
      <c r="Q314" s="10">
        <f>SALCE[[#This Row],[Gross_Sales]]-SALCE[[#This Row],[Discount_Value]]</f>
        <v>4500</v>
      </c>
      <c r="R314" s="15" t="s">
        <v>59</v>
      </c>
      <c r="S314" s="15" t="s">
        <v>26</v>
      </c>
      <c r="T314" s="15" t="s">
        <v>27</v>
      </c>
    </row>
    <row r="315" spans="1:20" s="12" customFormat="1" ht="30" customHeight="1" thickTop="1" thickBot="1" x14ac:dyDescent="0.4">
      <c r="A315" s="7">
        <v>1314</v>
      </c>
      <c r="B315" s="8">
        <v>45971</v>
      </c>
      <c r="C315" s="14" t="s">
        <v>28</v>
      </c>
      <c r="D315" s="14" t="s">
        <v>24</v>
      </c>
      <c r="E315" s="14" t="s">
        <v>40</v>
      </c>
      <c r="F315" s="14" t="s">
        <v>20</v>
      </c>
      <c r="G315" s="7">
        <v>7</v>
      </c>
      <c r="H315" s="7">
        <v>800</v>
      </c>
      <c r="I315" s="9">
        <v>5</v>
      </c>
      <c r="J315" s="10">
        <f>SALCE[[#This Row],[After_Discount]]*SALCE[[#This Row],[Tax_%]]/100</f>
        <v>7.4480000000000004</v>
      </c>
      <c r="K315" s="11">
        <v>0.14000000000000001</v>
      </c>
      <c r="L315" s="10">
        <f>SALCE[[#This Row],[Quantity]]*SALCE[[#This Row],[Unit_Price]]</f>
        <v>5600</v>
      </c>
      <c r="M315" s="10">
        <f>SALCE[[#This Row],[Gross_Sales]]*SALCE[[#This Row],[Discount_%]]/100</f>
        <v>280</v>
      </c>
      <c r="N315" s="10">
        <f>SALCE[[#This Row],[After_Discount]]+SALCE[[#This Row],[Tax_Value]]</f>
        <v>5327.4480000000003</v>
      </c>
      <c r="O315" s="10">
        <f>SALCE[[#This Row],[Gross_Sales]]*70%</f>
        <v>3919.9999999999995</v>
      </c>
      <c r="P315" s="10">
        <f>SALCE[[#This Row],[Net_Sales]]-SALCE[[#This Row],[Cost_Price]]</f>
        <v>1407.4480000000008</v>
      </c>
      <c r="Q315" s="10">
        <f>SALCE[[#This Row],[Gross_Sales]]-SALCE[[#This Row],[Discount_Value]]</f>
        <v>5320</v>
      </c>
      <c r="R315" s="15" t="s">
        <v>51</v>
      </c>
      <c r="S315" s="15" t="s">
        <v>37</v>
      </c>
      <c r="T315" s="15" t="s">
        <v>27</v>
      </c>
    </row>
    <row r="316" spans="1:20" s="12" customFormat="1" ht="30" customHeight="1" thickTop="1" thickBot="1" x14ac:dyDescent="0.4">
      <c r="A316" s="7">
        <v>1315</v>
      </c>
      <c r="B316" s="8">
        <v>45972</v>
      </c>
      <c r="C316" s="14" t="s">
        <v>28</v>
      </c>
      <c r="D316" s="14" t="s">
        <v>41</v>
      </c>
      <c r="E316" s="14" t="s">
        <v>34</v>
      </c>
      <c r="F316" s="14" t="s">
        <v>32</v>
      </c>
      <c r="G316" s="7">
        <v>8</v>
      </c>
      <c r="H316" s="7">
        <v>4000</v>
      </c>
      <c r="I316" s="9">
        <v>5</v>
      </c>
      <c r="J316" s="10">
        <f>SALCE[[#This Row],[After_Discount]]*SALCE[[#This Row],[Tax_%]]/100</f>
        <v>42.56</v>
      </c>
      <c r="K316" s="11">
        <v>0.14000000000000001</v>
      </c>
      <c r="L316" s="10">
        <f>SALCE[[#This Row],[Quantity]]*SALCE[[#This Row],[Unit_Price]]</f>
        <v>32000</v>
      </c>
      <c r="M316" s="10">
        <f>SALCE[[#This Row],[Gross_Sales]]*SALCE[[#This Row],[Discount_%]]/100</f>
        <v>1600</v>
      </c>
      <c r="N316" s="10">
        <f>SALCE[[#This Row],[After_Discount]]+SALCE[[#This Row],[Tax_Value]]</f>
        <v>30442.560000000001</v>
      </c>
      <c r="O316" s="10">
        <f>SALCE[[#This Row],[Gross_Sales]]*70%</f>
        <v>22400</v>
      </c>
      <c r="P316" s="10">
        <f>SALCE[[#This Row],[Net_Sales]]-SALCE[[#This Row],[Cost_Price]]</f>
        <v>8042.5600000000013</v>
      </c>
      <c r="Q316" s="10">
        <f>SALCE[[#This Row],[Gross_Sales]]-SALCE[[#This Row],[Discount_Value]]</f>
        <v>30400</v>
      </c>
      <c r="R316" s="15" t="s">
        <v>56</v>
      </c>
      <c r="S316" s="15" t="s">
        <v>26</v>
      </c>
      <c r="T316" s="15" t="s">
        <v>27</v>
      </c>
    </row>
    <row r="317" spans="1:20" s="12" customFormat="1" ht="30" customHeight="1" thickTop="1" thickBot="1" x14ac:dyDescent="0.4">
      <c r="A317" s="7">
        <v>1316</v>
      </c>
      <c r="B317" s="8">
        <v>45973</v>
      </c>
      <c r="C317" s="14" t="s">
        <v>39</v>
      </c>
      <c r="D317" s="14" t="s">
        <v>38</v>
      </c>
      <c r="E317" s="14" t="s">
        <v>31</v>
      </c>
      <c r="F317" s="14" t="s">
        <v>32</v>
      </c>
      <c r="G317" s="7">
        <v>8</v>
      </c>
      <c r="H317" s="7">
        <v>15000</v>
      </c>
      <c r="I317" s="9">
        <v>5</v>
      </c>
      <c r="J317" s="10">
        <f>SALCE[[#This Row],[After_Discount]]*SALCE[[#This Row],[Tax_%]]/100</f>
        <v>159.60000000000002</v>
      </c>
      <c r="K317" s="11">
        <v>0.14000000000000001</v>
      </c>
      <c r="L317" s="10">
        <f>SALCE[[#This Row],[Quantity]]*SALCE[[#This Row],[Unit_Price]]</f>
        <v>120000</v>
      </c>
      <c r="M317" s="10">
        <f>SALCE[[#This Row],[Gross_Sales]]*SALCE[[#This Row],[Discount_%]]/100</f>
        <v>6000</v>
      </c>
      <c r="N317" s="10">
        <f>SALCE[[#This Row],[After_Discount]]+SALCE[[#This Row],[Tax_Value]]</f>
        <v>114159.6</v>
      </c>
      <c r="O317" s="10">
        <f>SALCE[[#This Row],[Gross_Sales]]*70%</f>
        <v>84000</v>
      </c>
      <c r="P317" s="10">
        <f>SALCE[[#This Row],[Net_Sales]]-SALCE[[#This Row],[Cost_Price]]</f>
        <v>30159.600000000006</v>
      </c>
      <c r="Q317" s="10">
        <f>SALCE[[#This Row],[Gross_Sales]]-SALCE[[#This Row],[Discount_Value]]</f>
        <v>114000</v>
      </c>
      <c r="R317" s="15" t="s">
        <v>59</v>
      </c>
      <c r="S317" s="15" t="s">
        <v>37</v>
      </c>
      <c r="T317" s="15" t="s">
        <v>27</v>
      </c>
    </row>
    <row r="318" spans="1:20" s="12" customFormat="1" ht="30" customHeight="1" thickTop="1" thickBot="1" x14ac:dyDescent="0.4">
      <c r="A318" s="7">
        <v>1317</v>
      </c>
      <c r="B318" s="8">
        <v>45974</v>
      </c>
      <c r="C318" s="14" t="s">
        <v>35</v>
      </c>
      <c r="D318" s="14" t="s">
        <v>38</v>
      </c>
      <c r="E318" s="14" t="s">
        <v>40</v>
      </c>
      <c r="F318" s="14" t="s">
        <v>20</v>
      </c>
      <c r="G318" s="7">
        <v>4</v>
      </c>
      <c r="H318" s="7">
        <v>800</v>
      </c>
      <c r="I318" s="9">
        <v>0</v>
      </c>
      <c r="J318" s="10">
        <f>SALCE[[#This Row],[After_Discount]]*SALCE[[#This Row],[Tax_%]]/100</f>
        <v>4.4800000000000004</v>
      </c>
      <c r="K318" s="11">
        <v>0.14000000000000001</v>
      </c>
      <c r="L318" s="10">
        <f>SALCE[[#This Row],[Quantity]]*SALCE[[#This Row],[Unit_Price]]</f>
        <v>3200</v>
      </c>
      <c r="M318" s="10">
        <f>SALCE[[#This Row],[Gross_Sales]]*SALCE[[#This Row],[Discount_%]]/100</f>
        <v>0</v>
      </c>
      <c r="N318" s="10">
        <f>SALCE[[#This Row],[After_Discount]]+SALCE[[#This Row],[Tax_Value]]</f>
        <v>3204.48</v>
      </c>
      <c r="O318" s="10">
        <f>SALCE[[#This Row],[Gross_Sales]]*70%</f>
        <v>2240</v>
      </c>
      <c r="P318" s="10">
        <f>SALCE[[#This Row],[Net_Sales]]-SALCE[[#This Row],[Cost_Price]]</f>
        <v>964.48</v>
      </c>
      <c r="Q318" s="10">
        <f>SALCE[[#This Row],[Gross_Sales]]-SALCE[[#This Row],[Discount_Value]]</f>
        <v>3200</v>
      </c>
      <c r="R318" s="15" t="s">
        <v>60</v>
      </c>
      <c r="S318" s="15" t="s">
        <v>26</v>
      </c>
      <c r="T318" s="15" t="s">
        <v>22</v>
      </c>
    </row>
    <row r="319" spans="1:20" s="12" customFormat="1" ht="30" customHeight="1" thickTop="1" thickBot="1" x14ac:dyDescent="0.4">
      <c r="A319" s="7">
        <v>1318</v>
      </c>
      <c r="B319" s="8">
        <v>45975</v>
      </c>
      <c r="C319" s="14" t="s">
        <v>28</v>
      </c>
      <c r="D319" s="14" t="s">
        <v>41</v>
      </c>
      <c r="E319" s="14" t="s">
        <v>31</v>
      </c>
      <c r="F319" s="14" t="s">
        <v>32</v>
      </c>
      <c r="G319" s="7">
        <v>9</v>
      </c>
      <c r="H319" s="7">
        <v>15000</v>
      </c>
      <c r="I319" s="9">
        <v>5</v>
      </c>
      <c r="J319" s="10">
        <f>SALCE[[#This Row],[After_Discount]]*SALCE[[#This Row],[Tax_%]]/100</f>
        <v>179.55</v>
      </c>
      <c r="K319" s="11">
        <v>0.14000000000000001</v>
      </c>
      <c r="L319" s="10">
        <f>SALCE[[#This Row],[Quantity]]*SALCE[[#This Row],[Unit_Price]]</f>
        <v>135000</v>
      </c>
      <c r="M319" s="10">
        <f>SALCE[[#This Row],[Gross_Sales]]*SALCE[[#This Row],[Discount_%]]/100</f>
        <v>6750</v>
      </c>
      <c r="N319" s="10">
        <f>SALCE[[#This Row],[After_Discount]]+SALCE[[#This Row],[Tax_Value]]</f>
        <v>128429.55</v>
      </c>
      <c r="O319" s="10">
        <f>SALCE[[#This Row],[Gross_Sales]]*70%</f>
        <v>94500</v>
      </c>
      <c r="P319" s="10">
        <f>SALCE[[#This Row],[Net_Sales]]-SALCE[[#This Row],[Cost_Price]]</f>
        <v>33929.550000000003</v>
      </c>
      <c r="Q319" s="10">
        <f>SALCE[[#This Row],[Gross_Sales]]-SALCE[[#This Row],[Discount_Value]]</f>
        <v>128250</v>
      </c>
      <c r="R319" s="15" t="s">
        <v>52</v>
      </c>
      <c r="S319" s="15" t="s">
        <v>26</v>
      </c>
      <c r="T319" s="15" t="s">
        <v>22</v>
      </c>
    </row>
    <row r="320" spans="1:20" s="12" customFormat="1" ht="30" customHeight="1" thickTop="1" thickBot="1" x14ac:dyDescent="0.4">
      <c r="A320" s="7">
        <v>1319</v>
      </c>
      <c r="B320" s="8">
        <v>45976</v>
      </c>
      <c r="C320" s="14" t="s">
        <v>17</v>
      </c>
      <c r="D320" s="14" t="s">
        <v>38</v>
      </c>
      <c r="E320" s="14" t="s">
        <v>40</v>
      </c>
      <c r="F320" s="14" t="s">
        <v>20</v>
      </c>
      <c r="G320" s="7">
        <v>10</v>
      </c>
      <c r="H320" s="7">
        <v>800</v>
      </c>
      <c r="I320" s="9">
        <v>15</v>
      </c>
      <c r="J320" s="10">
        <f>SALCE[[#This Row],[After_Discount]]*SALCE[[#This Row],[Tax_%]]/100</f>
        <v>9.5200000000000014</v>
      </c>
      <c r="K320" s="11">
        <v>0.14000000000000001</v>
      </c>
      <c r="L320" s="10">
        <f>SALCE[[#This Row],[Quantity]]*SALCE[[#This Row],[Unit_Price]]</f>
        <v>8000</v>
      </c>
      <c r="M320" s="10">
        <f>SALCE[[#This Row],[Gross_Sales]]*SALCE[[#This Row],[Discount_%]]/100</f>
        <v>1200</v>
      </c>
      <c r="N320" s="10">
        <f>SALCE[[#This Row],[After_Discount]]+SALCE[[#This Row],[Tax_Value]]</f>
        <v>6809.52</v>
      </c>
      <c r="O320" s="10">
        <f>SALCE[[#This Row],[Gross_Sales]]*70%</f>
        <v>5600</v>
      </c>
      <c r="P320" s="10">
        <f>SALCE[[#This Row],[Net_Sales]]-SALCE[[#This Row],[Cost_Price]]</f>
        <v>1209.5200000000004</v>
      </c>
      <c r="Q320" s="10">
        <f>SALCE[[#This Row],[Gross_Sales]]-SALCE[[#This Row],[Discount_Value]]</f>
        <v>6800</v>
      </c>
      <c r="R320" s="15" t="s">
        <v>52</v>
      </c>
      <c r="S320" s="15" t="s">
        <v>21</v>
      </c>
      <c r="T320" s="15" t="s">
        <v>27</v>
      </c>
    </row>
    <row r="321" spans="1:20" s="12" customFormat="1" ht="30" customHeight="1" thickTop="1" thickBot="1" x14ac:dyDescent="0.4">
      <c r="A321" s="7">
        <v>1320</v>
      </c>
      <c r="B321" s="8">
        <v>45977</v>
      </c>
      <c r="C321" s="14" t="s">
        <v>39</v>
      </c>
      <c r="D321" s="14" t="s">
        <v>29</v>
      </c>
      <c r="E321" s="14" t="s">
        <v>40</v>
      </c>
      <c r="F321" s="14" t="s">
        <v>20</v>
      </c>
      <c r="G321" s="7">
        <v>3</v>
      </c>
      <c r="H321" s="7">
        <v>800</v>
      </c>
      <c r="I321" s="9">
        <v>10</v>
      </c>
      <c r="J321" s="10">
        <f>SALCE[[#This Row],[After_Discount]]*SALCE[[#This Row],[Tax_%]]/100</f>
        <v>3.0240000000000005</v>
      </c>
      <c r="K321" s="11">
        <v>0.14000000000000001</v>
      </c>
      <c r="L321" s="10">
        <f>SALCE[[#This Row],[Quantity]]*SALCE[[#This Row],[Unit_Price]]</f>
        <v>2400</v>
      </c>
      <c r="M321" s="10">
        <f>SALCE[[#This Row],[Gross_Sales]]*SALCE[[#This Row],[Discount_%]]/100</f>
        <v>240</v>
      </c>
      <c r="N321" s="10">
        <f>SALCE[[#This Row],[After_Discount]]+SALCE[[#This Row],[Tax_Value]]</f>
        <v>2163.0239999999999</v>
      </c>
      <c r="O321" s="10">
        <f>SALCE[[#This Row],[Gross_Sales]]*70%</f>
        <v>1680</v>
      </c>
      <c r="P321" s="10">
        <f>SALCE[[#This Row],[Net_Sales]]-SALCE[[#This Row],[Cost_Price]]</f>
        <v>483.02399999999989</v>
      </c>
      <c r="Q321" s="10">
        <f>SALCE[[#This Row],[Gross_Sales]]-SALCE[[#This Row],[Discount_Value]]</f>
        <v>2160</v>
      </c>
      <c r="R321" s="15" t="s">
        <v>47</v>
      </c>
      <c r="S321" s="15" t="s">
        <v>21</v>
      </c>
      <c r="T321" s="15" t="s">
        <v>27</v>
      </c>
    </row>
    <row r="322" spans="1:20" s="12" customFormat="1" ht="30" customHeight="1" thickTop="1" thickBot="1" x14ac:dyDescent="0.4">
      <c r="A322" s="7">
        <v>1321</v>
      </c>
      <c r="B322" s="8">
        <v>45978</v>
      </c>
      <c r="C322" s="14" t="s">
        <v>30</v>
      </c>
      <c r="D322" s="14" t="s">
        <v>18</v>
      </c>
      <c r="E322" s="14" t="s">
        <v>40</v>
      </c>
      <c r="F322" s="14" t="s">
        <v>20</v>
      </c>
      <c r="G322" s="7">
        <v>2</v>
      </c>
      <c r="H322" s="7">
        <v>800</v>
      </c>
      <c r="I322" s="9">
        <v>0</v>
      </c>
      <c r="J322" s="10">
        <f>SALCE[[#This Row],[After_Discount]]*SALCE[[#This Row],[Tax_%]]/100</f>
        <v>2.2400000000000002</v>
      </c>
      <c r="K322" s="11">
        <v>0.14000000000000001</v>
      </c>
      <c r="L322" s="10">
        <f>SALCE[[#This Row],[Quantity]]*SALCE[[#This Row],[Unit_Price]]</f>
        <v>1600</v>
      </c>
      <c r="M322" s="10">
        <f>SALCE[[#This Row],[Gross_Sales]]*SALCE[[#This Row],[Discount_%]]/100</f>
        <v>0</v>
      </c>
      <c r="N322" s="10">
        <f>SALCE[[#This Row],[After_Discount]]+SALCE[[#This Row],[Tax_Value]]</f>
        <v>1602.24</v>
      </c>
      <c r="O322" s="10">
        <f>SALCE[[#This Row],[Gross_Sales]]*70%</f>
        <v>1120</v>
      </c>
      <c r="P322" s="10">
        <f>SALCE[[#This Row],[Net_Sales]]-SALCE[[#This Row],[Cost_Price]]</f>
        <v>482.24</v>
      </c>
      <c r="Q322" s="10">
        <f>SALCE[[#This Row],[Gross_Sales]]-SALCE[[#This Row],[Discount_Value]]</f>
        <v>1600</v>
      </c>
      <c r="R322" s="15" t="s">
        <v>53</v>
      </c>
      <c r="S322" s="15" t="s">
        <v>37</v>
      </c>
      <c r="T322" s="15" t="s">
        <v>22</v>
      </c>
    </row>
    <row r="323" spans="1:20" s="12" customFormat="1" ht="30" customHeight="1" thickTop="1" thickBot="1" x14ac:dyDescent="0.4">
      <c r="A323" s="7">
        <v>1322</v>
      </c>
      <c r="B323" s="8">
        <v>45979</v>
      </c>
      <c r="C323" s="14" t="s">
        <v>30</v>
      </c>
      <c r="D323" s="14" t="s">
        <v>41</v>
      </c>
      <c r="E323" s="14" t="s">
        <v>33</v>
      </c>
      <c r="F323" s="14" t="s">
        <v>32</v>
      </c>
      <c r="G323" s="7">
        <v>4</v>
      </c>
      <c r="H323" s="7">
        <v>6000</v>
      </c>
      <c r="I323" s="9">
        <v>5</v>
      </c>
      <c r="J323" s="10">
        <f>SALCE[[#This Row],[After_Discount]]*SALCE[[#This Row],[Tax_%]]/100</f>
        <v>31.920000000000005</v>
      </c>
      <c r="K323" s="11">
        <v>0.14000000000000001</v>
      </c>
      <c r="L323" s="10">
        <f>SALCE[[#This Row],[Quantity]]*SALCE[[#This Row],[Unit_Price]]</f>
        <v>24000</v>
      </c>
      <c r="M323" s="10">
        <f>SALCE[[#This Row],[Gross_Sales]]*SALCE[[#This Row],[Discount_%]]/100</f>
        <v>1200</v>
      </c>
      <c r="N323" s="10">
        <f>SALCE[[#This Row],[After_Discount]]+SALCE[[#This Row],[Tax_Value]]</f>
        <v>22831.919999999998</v>
      </c>
      <c r="O323" s="10">
        <f>SALCE[[#This Row],[Gross_Sales]]*70%</f>
        <v>16800</v>
      </c>
      <c r="P323" s="10">
        <f>SALCE[[#This Row],[Net_Sales]]-SALCE[[#This Row],[Cost_Price]]</f>
        <v>6031.9199999999983</v>
      </c>
      <c r="Q323" s="10">
        <f>SALCE[[#This Row],[Gross_Sales]]-SALCE[[#This Row],[Discount_Value]]</f>
        <v>22800</v>
      </c>
      <c r="R323" s="15" t="s">
        <v>62</v>
      </c>
      <c r="S323" s="15" t="s">
        <v>26</v>
      </c>
      <c r="T323" s="15" t="s">
        <v>22</v>
      </c>
    </row>
    <row r="324" spans="1:20" s="12" customFormat="1" ht="30" customHeight="1" thickTop="1" thickBot="1" x14ac:dyDescent="0.4">
      <c r="A324" s="7">
        <v>1323</v>
      </c>
      <c r="B324" s="8">
        <v>45980</v>
      </c>
      <c r="C324" s="14" t="s">
        <v>39</v>
      </c>
      <c r="D324" s="14" t="s">
        <v>36</v>
      </c>
      <c r="E324" s="14" t="s">
        <v>40</v>
      </c>
      <c r="F324" s="14" t="s">
        <v>20</v>
      </c>
      <c r="G324" s="7">
        <v>3</v>
      </c>
      <c r="H324" s="7">
        <v>800</v>
      </c>
      <c r="I324" s="9">
        <v>0</v>
      </c>
      <c r="J324" s="10">
        <f>SALCE[[#This Row],[After_Discount]]*SALCE[[#This Row],[Tax_%]]/100</f>
        <v>3.3600000000000008</v>
      </c>
      <c r="K324" s="11">
        <v>0.14000000000000001</v>
      </c>
      <c r="L324" s="10">
        <f>SALCE[[#This Row],[Quantity]]*SALCE[[#This Row],[Unit_Price]]</f>
        <v>2400</v>
      </c>
      <c r="M324" s="10">
        <f>SALCE[[#This Row],[Gross_Sales]]*SALCE[[#This Row],[Discount_%]]/100</f>
        <v>0</v>
      </c>
      <c r="N324" s="10">
        <f>SALCE[[#This Row],[After_Discount]]+SALCE[[#This Row],[Tax_Value]]</f>
        <v>2403.36</v>
      </c>
      <c r="O324" s="10">
        <f>SALCE[[#This Row],[Gross_Sales]]*70%</f>
        <v>1680</v>
      </c>
      <c r="P324" s="10">
        <f>SALCE[[#This Row],[Net_Sales]]-SALCE[[#This Row],[Cost_Price]]</f>
        <v>723.36000000000013</v>
      </c>
      <c r="Q324" s="10">
        <f>SALCE[[#This Row],[Gross_Sales]]-SALCE[[#This Row],[Discount_Value]]</f>
        <v>2400</v>
      </c>
      <c r="R324" s="15" t="s">
        <v>50</v>
      </c>
      <c r="S324" s="15" t="s">
        <v>26</v>
      </c>
      <c r="T324" s="15" t="s">
        <v>27</v>
      </c>
    </row>
    <row r="325" spans="1:20" s="12" customFormat="1" ht="30" customHeight="1" thickTop="1" thickBot="1" x14ac:dyDescent="0.4">
      <c r="A325" s="7">
        <v>1324</v>
      </c>
      <c r="B325" s="8">
        <v>45981</v>
      </c>
      <c r="C325" s="14" t="s">
        <v>39</v>
      </c>
      <c r="D325" s="14" t="s">
        <v>18</v>
      </c>
      <c r="E325" s="14" t="s">
        <v>33</v>
      </c>
      <c r="F325" s="14" t="s">
        <v>32</v>
      </c>
      <c r="G325" s="7">
        <v>9</v>
      </c>
      <c r="H325" s="7">
        <v>6000</v>
      </c>
      <c r="I325" s="9">
        <v>10</v>
      </c>
      <c r="J325" s="10">
        <f>SALCE[[#This Row],[After_Discount]]*SALCE[[#This Row],[Tax_%]]/100</f>
        <v>68.040000000000006</v>
      </c>
      <c r="K325" s="11">
        <v>0.14000000000000001</v>
      </c>
      <c r="L325" s="10">
        <f>SALCE[[#This Row],[Quantity]]*SALCE[[#This Row],[Unit_Price]]</f>
        <v>54000</v>
      </c>
      <c r="M325" s="10">
        <f>SALCE[[#This Row],[Gross_Sales]]*SALCE[[#This Row],[Discount_%]]/100</f>
        <v>5400</v>
      </c>
      <c r="N325" s="10">
        <f>SALCE[[#This Row],[After_Discount]]+SALCE[[#This Row],[Tax_Value]]</f>
        <v>48668.04</v>
      </c>
      <c r="O325" s="10">
        <f>SALCE[[#This Row],[Gross_Sales]]*70%</f>
        <v>37800</v>
      </c>
      <c r="P325" s="10">
        <f>SALCE[[#This Row],[Net_Sales]]-SALCE[[#This Row],[Cost_Price]]</f>
        <v>10868.04</v>
      </c>
      <c r="Q325" s="10">
        <f>SALCE[[#This Row],[Gross_Sales]]-SALCE[[#This Row],[Discount_Value]]</f>
        <v>48600</v>
      </c>
      <c r="R325" s="15" t="s">
        <v>61</v>
      </c>
      <c r="S325" s="15" t="s">
        <v>21</v>
      </c>
      <c r="T325" s="15" t="s">
        <v>27</v>
      </c>
    </row>
    <row r="326" spans="1:20" s="12" customFormat="1" ht="30" customHeight="1" thickTop="1" thickBot="1" x14ac:dyDescent="0.4">
      <c r="A326" s="7">
        <v>1325</v>
      </c>
      <c r="B326" s="8">
        <v>45982</v>
      </c>
      <c r="C326" s="14" t="s">
        <v>39</v>
      </c>
      <c r="D326" s="14" t="s">
        <v>36</v>
      </c>
      <c r="E326" s="14" t="s">
        <v>40</v>
      </c>
      <c r="F326" s="14" t="s">
        <v>20</v>
      </c>
      <c r="G326" s="7">
        <v>2</v>
      </c>
      <c r="H326" s="7">
        <v>800</v>
      </c>
      <c r="I326" s="9">
        <v>5</v>
      </c>
      <c r="J326" s="10">
        <f>SALCE[[#This Row],[After_Discount]]*SALCE[[#This Row],[Tax_%]]/100</f>
        <v>2.1280000000000001</v>
      </c>
      <c r="K326" s="11">
        <v>0.14000000000000001</v>
      </c>
      <c r="L326" s="10">
        <f>SALCE[[#This Row],[Quantity]]*SALCE[[#This Row],[Unit_Price]]</f>
        <v>1600</v>
      </c>
      <c r="M326" s="10">
        <f>SALCE[[#This Row],[Gross_Sales]]*SALCE[[#This Row],[Discount_%]]/100</f>
        <v>80</v>
      </c>
      <c r="N326" s="10">
        <f>SALCE[[#This Row],[After_Discount]]+SALCE[[#This Row],[Tax_Value]]</f>
        <v>1522.1279999999999</v>
      </c>
      <c r="O326" s="10">
        <f>SALCE[[#This Row],[Gross_Sales]]*70%</f>
        <v>1120</v>
      </c>
      <c r="P326" s="10">
        <f>SALCE[[#This Row],[Net_Sales]]-SALCE[[#This Row],[Cost_Price]]</f>
        <v>402.12799999999993</v>
      </c>
      <c r="Q326" s="10">
        <f>SALCE[[#This Row],[Gross_Sales]]-SALCE[[#This Row],[Discount_Value]]</f>
        <v>1520</v>
      </c>
      <c r="R326" s="15" t="s">
        <v>53</v>
      </c>
      <c r="S326" s="15" t="s">
        <v>37</v>
      </c>
      <c r="T326" s="15" t="s">
        <v>27</v>
      </c>
    </row>
    <row r="327" spans="1:20" s="12" customFormat="1" ht="30" customHeight="1" thickTop="1" thickBot="1" x14ac:dyDescent="0.4">
      <c r="A327" s="7">
        <v>1326</v>
      </c>
      <c r="B327" s="8">
        <v>45983</v>
      </c>
      <c r="C327" s="14" t="s">
        <v>28</v>
      </c>
      <c r="D327" s="14" t="s">
        <v>18</v>
      </c>
      <c r="E327" s="14" t="s">
        <v>33</v>
      </c>
      <c r="F327" s="14" t="s">
        <v>32</v>
      </c>
      <c r="G327" s="7">
        <v>3</v>
      </c>
      <c r="H327" s="7">
        <v>6000</v>
      </c>
      <c r="I327" s="9">
        <v>0</v>
      </c>
      <c r="J327" s="10">
        <f>SALCE[[#This Row],[After_Discount]]*SALCE[[#This Row],[Tax_%]]/100</f>
        <v>25.200000000000003</v>
      </c>
      <c r="K327" s="11">
        <v>0.14000000000000001</v>
      </c>
      <c r="L327" s="10">
        <f>SALCE[[#This Row],[Quantity]]*SALCE[[#This Row],[Unit_Price]]</f>
        <v>18000</v>
      </c>
      <c r="M327" s="10">
        <f>SALCE[[#This Row],[Gross_Sales]]*SALCE[[#This Row],[Discount_%]]/100</f>
        <v>0</v>
      </c>
      <c r="N327" s="10">
        <f>SALCE[[#This Row],[After_Discount]]+SALCE[[#This Row],[Tax_Value]]</f>
        <v>18025.2</v>
      </c>
      <c r="O327" s="10">
        <f>SALCE[[#This Row],[Gross_Sales]]*70%</f>
        <v>12600</v>
      </c>
      <c r="P327" s="10">
        <f>SALCE[[#This Row],[Net_Sales]]-SALCE[[#This Row],[Cost_Price]]</f>
        <v>5425.2000000000007</v>
      </c>
      <c r="Q327" s="10">
        <f>SALCE[[#This Row],[Gross_Sales]]-SALCE[[#This Row],[Discount_Value]]</f>
        <v>18000</v>
      </c>
      <c r="R327" s="15" t="s">
        <v>57</v>
      </c>
      <c r="S327" s="15" t="s">
        <v>37</v>
      </c>
      <c r="T327" s="15" t="s">
        <v>27</v>
      </c>
    </row>
    <row r="328" spans="1:20" s="12" customFormat="1" ht="30" customHeight="1" thickTop="1" thickBot="1" x14ac:dyDescent="0.4">
      <c r="A328" s="7">
        <v>1327</v>
      </c>
      <c r="B328" s="8">
        <v>45984</v>
      </c>
      <c r="C328" s="14" t="s">
        <v>39</v>
      </c>
      <c r="D328" s="14" t="s">
        <v>24</v>
      </c>
      <c r="E328" s="14" t="s">
        <v>19</v>
      </c>
      <c r="F328" s="14" t="s">
        <v>20</v>
      </c>
      <c r="G328" s="7">
        <v>1</v>
      </c>
      <c r="H328" s="7">
        <v>300</v>
      </c>
      <c r="I328" s="9">
        <v>10</v>
      </c>
      <c r="J328" s="10">
        <f>SALCE[[#This Row],[After_Discount]]*SALCE[[#This Row],[Tax_%]]/100</f>
        <v>0.37800000000000006</v>
      </c>
      <c r="K328" s="11">
        <v>0.14000000000000001</v>
      </c>
      <c r="L328" s="10">
        <f>SALCE[[#This Row],[Quantity]]*SALCE[[#This Row],[Unit_Price]]</f>
        <v>300</v>
      </c>
      <c r="M328" s="10">
        <f>SALCE[[#This Row],[Gross_Sales]]*SALCE[[#This Row],[Discount_%]]/100</f>
        <v>30</v>
      </c>
      <c r="N328" s="10">
        <f>SALCE[[#This Row],[After_Discount]]+SALCE[[#This Row],[Tax_Value]]</f>
        <v>270.37799999999999</v>
      </c>
      <c r="O328" s="10">
        <f>SALCE[[#This Row],[Gross_Sales]]*70%</f>
        <v>210</v>
      </c>
      <c r="P328" s="10">
        <f>SALCE[[#This Row],[Net_Sales]]-SALCE[[#This Row],[Cost_Price]]</f>
        <v>60.377999999999986</v>
      </c>
      <c r="Q328" s="10">
        <f>SALCE[[#This Row],[Gross_Sales]]-SALCE[[#This Row],[Discount_Value]]</f>
        <v>270</v>
      </c>
      <c r="R328" s="15" t="s">
        <v>57</v>
      </c>
      <c r="S328" s="15" t="s">
        <v>21</v>
      </c>
      <c r="T328" s="15" t="s">
        <v>22</v>
      </c>
    </row>
    <row r="329" spans="1:20" s="12" customFormat="1" ht="30" customHeight="1" thickTop="1" thickBot="1" x14ac:dyDescent="0.4">
      <c r="A329" s="7">
        <v>1328</v>
      </c>
      <c r="B329" s="8">
        <v>45985</v>
      </c>
      <c r="C329" s="14" t="s">
        <v>17</v>
      </c>
      <c r="D329" s="14" t="s">
        <v>29</v>
      </c>
      <c r="E329" s="14" t="s">
        <v>25</v>
      </c>
      <c r="F329" s="14" t="s">
        <v>20</v>
      </c>
      <c r="G329" s="7">
        <v>3</v>
      </c>
      <c r="H329" s="7">
        <v>500</v>
      </c>
      <c r="I329" s="9">
        <v>5</v>
      </c>
      <c r="J329" s="10">
        <f>SALCE[[#This Row],[After_Discount]]*SALCE[[#This Row],[Tax_%]]/100</f>
        <v>1.9950000000000003</v>
      </c>
      <c r="K329" s="11">
        <v>0.14000000000000001</v>
      </c>
      <c r="L329" s="10">
        <f>SALCE[[#This Row],[Quantity]]*SALCE[[#This Row],[Unit_Price]]</f>
        <v>1500</v>
      </c>
      <c r="M329" s="10">
        <f>SALCE[[#This Row],[Gross_Sales]]*SALCE[[#This Row],[Discount_%]]/100</f>
        <v>75</v>
      </c>
      <c r="N329" s="10">
        <f>SALCE[[#This Row],[After_Discount]]+SALCE[[#This Row],[Tax_Value]]</f>
        <v>1426.9949999999999</v>
      </c>
      <c r="O329" s="10">
        <f>SALCE[[#This Row],[Gross_Sales]]*70%</f>
        <v>1050</v>
      </c>
      <c r="P329" s="10">
        <f>SALCE[[#This Row],[Net_Sales]]-SALCE[[#This Row],[Cost_Price]]</f>
        <v>376.99499999999989</v>
      </c>
      <c r="Q329" s="10">
        <f>SALCE[[#This Row],[Gross_Sales]]-SALCE[[#This Row],[Discount_Value]]</f>
        <v>1425</v>
      </c>
      <c r="R329" s="15" t="s">
        <v>54</v>
      </c>
      <c r="S329" s="15" t="s">
        <v>26</v>
      </c>
      <c r="T329" s="15" t="s">
        <v>27</v>
      </c>
    </row>
    <row r="330" spans="1:20" s="12" customFormat="1" ht="30" customHeight="1" thickTop="1" thickBot="1" x14ac:dyDescent="0.4">
      <c r="A330" s="7">
        <v>1329</v>
      </c>
      <c r="B330" s="8">
        <v>45986</v>
      </c>
      <c r="C330" s="14" t="s">
        <v>23</v>
      </c>
      <c r="D330" s="14" t="s">
        <v>24</v>
      </c>
      <c r="E330" s="14" t="s">
        <v>33</v>
      </c>
      <c r="F330" s="14" t="s">
        <v>32</v>
      </c>
      <c r="G330" s="7">
        <v>3</v>
      </c>
      <c r="H330" s="7">
        <v>6000</v>
      </c>
      <c r="I330" s="9">
        <v>10</v>
      </c>
      <c r="J330" s="10">
        <f>SALCE[[#This Row],[After_Discount]]*SALCE[[#This Row],[Tax_%]]/100</f>
        <v>22.68</v>
      </c>
      <c r="K330" s="11">
        <v>0.14000000000000001</v>
      </c>
      <c r="L330" s="10">
        <f>SALCE[[#This Row],[Quantity]]*SALCE[[#This Row],[Unit_Price]]</f>
        <v>18000</v>
      </c>
      <c r="M330" s="10">
        <f>SALCE[[#This Row],[Gross_Sales]]*SALCE[[#This Row],[Discount_%]]/100</f>
        <v>1800</v>
      </c>
      <c r="N330" s="10">
        <f>SALCE[[#This Row],[After_Discount]]+SALCE[[#This Row],[Tax_Value]]</f>
        <v>16222.68</v>
      </c>
      <c r="O330" s="10">
        <f>SALCE[[#This Row],[Gross_Sales]]*70%</f>
        <v>12600</v>
      </c>
      <c r="P330" s="10">
        <f>SALCE[[#This Row],[Net_Sales]]-SALCE[[#This Row],[Cost_Price]]</f>
        <v>3622.6800000000003</v>
      </c>
      <c r="Q330" s="10">
        <f>SALCE[[#This Row],[Gross_Sales]]-SALCE[[#This Row],[Discount_Value]]</f>
        <v>16200</v>
      </c>
      <c r="R330" s="15" t="s">
        <v>62</v>
      </c>
      <c r="S330" s="15" t="s">
        <v>26</v>
      </c>
      <c r="T330" s="15" t="s">
        <v>27</v>
      </c>
    </row>
    <row r="331" spans="1:20" s="12" customFormat="1" ht="30" customHeight="1" thickTop="1" thickBot="1" x14ac:dyDescent="0.4">
      <c r="A331" s="7">
        <v>1330</v>
      </c>
      <c r="B331" s="8">
        <v>45987</v>
      </c>
      <c r="C331" s="14" t="s">
        <v>23</v>
      </c>
      <c r="D331" s="14" t="s">
        <v>29</v>
      </c>
      <c r="E331" s="14" t="s">
        <v>25</v>
      </c>
      <c r="F331" s="14" t="s">
        <v>20</v>
      </c>
      <c r="G331" s="7">
        <v>1</v>
      </c>
      <c r="H331" s="7">
        <v>500</v>
      </c>
      <c r="I331" s="9">
        <v>15</v>
      </c>
      <c r="J331" s="10">
        <f>SALCE[[#This Row],[After_Discount]]*SALCE[[#This Row],[Tax_%]]/100</f>
        <v>0.59500000000000008</v>
      </c>
      <c r="K331" s="11">
        <v>0.14000000000000001</v>
      </c>
      <c r="L331" s="10">
        <f>SALCE[[#This Row],[Quantity]]*SALCE[[#This Row],[Unit_Price]]</f>
        <v>500</v>
      </c>
      <c r="M331" s="10">
        <f>SALCE[[#This Row],[Gross_Sales]]*SALCE[[#This Row],[Discount_%]]/100</f>
        <v>75</v>
      </c>
      <c r="N331" s="10">
        <f>SALCE[[#This Row],[After_Discount]]+SALCE[[#This Row],[Tax_Value]]</f>
        <v>425.59500000000003</v>
      </c>
      <c r="O331" s="10">
        <f>SALCE[[#This Row],[Gross_Sales]]*70%</f>
        <v>350</v>
      </c>
      <c r="P331" s="10">
        <f>SALCE[[#This Row],[Net_Sales]]-SALCE[[#This Row],[Cost_Price]]</f>
        <v>75.595000000000027</v>
      </c>
      <c r="Q331" s="10">
        <f>SALCE[[#This Row],[Gross_Sales]]-SALCE[[#This Row],[Discount_Value]]</f>
        <v>425</v>
      </c>
      <c r="R331" s="15" t="s">
        <v>53</v>
      </c>
      <c r="S331" s="15" t="s">
        <v>37</v>
      </c>
      <c r="T331" s="15" t="s">
        <v>27</v>
      </c>
    </row>
    <row r="332" spans="1:20" s="12" customFormat="1" ht="30" customHeight="1" thickTop="1" thickBot="1" x14ac:dyDescent="0.4">
      <c r="A332" s="7">
        <v>1331</v>
      </c>
      <c r="B332" s="8">
        <v>45988</v>
      </c>
      <c r="C332" s="14" t="s">
        <v>23</v>
      </c>
      <c r="D332" s="14" t="s">
        <v>29</v>
      </c>
      <c r="E332" s="14" t="s">
        <v>31</v>
      </c>
      <c r="F332" s="14" t="s">
        <v>32</v>
      </c>
      <c r="G332" s="7">
        <v>9</v>
      </c>
      <c r="H332" s="7">
        <v>15000</v>
      </c>
      <c r="I332" s="9">
        <v>5</v>
      </c>
      <c r="J332" s="10">
        <f>SALCE[[#This Row],[After_Discount]]*SALCE[[#This Row],[Tax_%]]/100</f>
        <v>179.55</v>
      </c>
      <c r="K332" s="11">
        <v>0.14000000000000001</v>
      </c>
      <c r="L332" s="10">
        <f>SALCE[[#This Row],[Quantity]]*SALCE[[#This Row],[Unit_Price]]</f>
        <v>135000</v>
      </c>
      <c r="M332" s="10">
        <f>SALCE[[#This Row],[Gross_Sales]]*SALCE[[#This Row],[Discount_%]]/100</f>
        <v>6750</v>
      </c>
      <c r="N332" s="10">
        <f>SALCE[[#This Row],[After_Discount]]+SALCE[[#This Row],[Tax_Value]]</f>
        <v>128429.55</v>
      </c>
      <c r="O332" s="10">
        <f>SALCE[[#This Row],[Gross_Sales]]*70%</f>
        <v>94500</v>
      </c>
      <c r="P332" s="10">
        <f>SALCE[[#This Row],[Net_Sales]]-SALCE[[#This Row],[Cost_Price]]</f>
        <v>33929.550000000003</v>
      </c>
      <c r="Q332" s="10">
        <f>SALCE[[#This Row],[Gross_Sales]]-SALCE[[#This Row],[Discount_Value]]</f>
        <v>128250</v>
      </c>
      <c r="R332" s="15" t="s">
        <v>54</v>
      </c>
      <c r="S332" s="15" t="s">
        <v>37</v>
      </c>
      <c r="T332" s="15" t="s">
        <v>22</v>
      </c>
    </row>
    <row r="333" spans="1:20" s="12" customFormat="1" ht="30" customHeight="1" thickTop="1" thickBot="1" x14ac:dyDescent="0.4">
      <c r="A333" s="7">
        <v>1332</v>
      </c>
      <c r="B333" s="8">
        <v>45989</v>
      </c>
      <c r="C333" s="14" t="s">
        <v>28</v>
      </c>
      <c r="D333" s="14" t="s">
        <v>29</v>
      </c>
      <c r="E333" s="14" t="s">
        <v>34</v>
      </c>
      <c r="F333" s="14" t="s">
        <v>32</v>
      </c>
      <c r="G333" s="7">
        <v>1</v>
      </c>
      <c r="H333" s="7">
        <v>4000</v>
      </c>
      <c r="I333" s="9">
        <v>0</v>
      </c>
      <c r="J333" s="10">
        <f>SALCE[[#This Row],[After_Discount]]*SALCE[[#This Row],[Tax_%]]/100</f>
        <v>5.6</v>
      </c>
      <c r="K333" s="11">
        <v>0.14000000000000001</v>
      </c>
      <c r="L333" s="10">
        <f>SALCE[[#This Row],[Quantity]]*SALCE[[#This Row],[Unit_Price]]</f>
        <v>4000</v>
      </c>
      <c r="M333" s="10">
        <f>SALCE[[#This Row],[Gross_Sales]]*SALCE[[#This Row],[Discount_%]]/100</f>
        <v>0</v>
      </c>
      <c r="N333" s="10">
        <f>SALCE[[#This Row],[After_Discount]]+SALCE[[#This Row],[Tax_Value]]</f>
        <v>4005.6</v>
      </c>
      <c r="O333" s="10">
        <f>SALCE[[#This Row],[Gross_Sales]]*70%</f>
        <v>2800</v>
      </c>
      <c r="P333" s="10">
        <f>SALCE[[#This Row],[Net_Sales]]-SALCE[[#This Row],[Cost_Price]]</f>
        <v>1205.5999999999999</v>
      </c>
      <c r="Q333" s="10">
        <f>SALCE[[#This Row],[Gross_Sales]]-SALCE[[#This Row],[Discount_Value]]</f>
        <v>4000</v>
      </c>
      <c r="R333" s="15" t="s">
        <v>62</v>
      </c>
      <c r="S333" s="15" t="s">
        <v>21</v>
      </c>
      <c r="T333" s="15" t="s">
        <v>27</v>
      </c>
    </row>
    <row r="334" spans="1:20" s="12" customFormat="1" ht="30" customHeight="1" thickTop="1" thickBot="1" x14ac:dyDescent="0.4">
      <c r="A334" s="7">
        <v>1333</v>
      </c>
      <c r="B334" s="8">
        <v>45990</v>
      </c>
      <c r="C334" s="14" t="s">
        <v>30</v>
      </c>
      <c r="D334" s="14" t="s">
        <v>41</v>
      </c>
      <c r="E334" s="14" t="s">
        <v>34</v>
      </c>
      <c r="F334" s="14" t="s">
        <v>32</v>
      </c>
      <c r="G334" s="7">
        <v>7</v>
      </c>
      <c r="H334" s="7">
        <v>4000</v>
      </c>
      <c r="I334" s="9">
        <v>0</v>
      </c>
      <c r="J334" s="10">
        <f>SALCE[[#This Row],[After_Discount]]*SALCE[[#This Row],[Tax_%]]/100</f>
        <v>39.200000000000003</v>
      </c>
      <c r="K334" s="11">
        <v>0.14000000000000001</v>
      </c>
      <c r="L334" s="10">
        <f>SALCE[[#This Row],[Quantity]]*SALCE[[#This Row],[Unit_Price]]</f>
        <v>28000</v>
      </c>
      <c r="M334" s="10">
        <f>SALCE[[#This Row],[Gross_Sales]]*SALCE[[#This Row],[Discount_%]]/100</f>
        <v>0</v>
      </c>
      <c r="N334" s="10">
        <f>SALCE[[#This Row],[After_Discount]]+SALCE[[#This Row],[Tax_Value]]</f>
        <v>28039.200000000001</v>
      </c>
      <c r="O334" s="10">
        <f>SALCE[[#This Row],[Gross_Sales]]*70%</f>
        <v>19600</v>
      </c>
      <c r="P334" s="10">
        <f>SALCE[[#This Row],[Net_Sales]]-SALCE[[#This Row],[Cost_Price]]</f>
        <v>8439.2000000000007</v>
      </c>
      <c r="Q334" s="10">
        <f>SALCE[[#This Row],[Gross_Sales]]-SALCE[[#This Row],[Discount_Value]]</f>
        <v>28000</v>
      </c>
      <c r="R334" s="15" t="s">
        <v>54</v>
      </c>
      <c r="S334" s="15" t="s">
        <v>26</v>
      </c>
      <c r="T334" s="15" t="s">
        <v>27</v>
      </c>
    </row>
    <row r="335" spans="1:20" s="12" customFormat="1" ht="30" customHeight="1" thickTop="1" thickBot="1" x14ac:dyDescent="0.4">
      <c r="A335" s="7">
        <v>1334</v>
      </c>
      <c r="B335" s="8">
        <v>45991</v>
      </c>
      <c r="C335" s="14" t="s">
        <v>23</v>
      </c>
      <c r="D335" s="14" t="s">
        <v>29</v>
      </c>
      <c r="E335" s="14" t="s">
        <v>34</v>
      </c>
      <c r="F335" s="14" t="s">
        <v>32</v>
      </c>
      <c r="G335" s="7">
        <v>10</v>
      </c>
      <c r="H335" s="7">
        <v>4000</v>
      </c>
      <c r="I335" s="9">
        <v>10</v>
      </c>
      <c r="J335" s="10">
        <f>SALCE[[#This Row],[After_Discount]]*SALCE[[#This Row],[Tax_%]]/100</f>
        <v>50.400000000000006</v>
      </c>
      <c r="K335" s="11">
        <v>0.14000000000000001</v>
      </c>
      <c r="L335" s="10">
        <f>SALCE[[#This Row],[Quantity]]*SALCE[[#This Row],[Unit_Price]]</f>
        <v>40000</v>
      </c>
      <c r="M335" s="10">
        <f>SALCE[[#This Row],[Gross_Sales]]*SALCE[[#This Row],[Discount_%]]/100</f>
        <v>4000</v>
      </c>
      <c r="N335" s="10">
        <f>SALCE[[#This Row],[After_Discount]]+SALCE[[#This Row],[Tax_Value]]</f>
        <v>36050.400000000001</v>
      </c>
      <c r="O335" s="10">
        <f>SALCE[[#This Row],[Gross_Sales]]*70%</f>
        <v>28000</v>
      </c>
      <c r="P335" s="10">
        <f>SALCE[[#This Row],[Net_Sales]]-SALCE[[#This Row],[Cost_Price]]</f>
        <v>8050.4000000000015</v>
      </c>
      <c r="Q335" s="10">
        <f>SALCE[[#This Row],[Gross_Sales]]-SALCE[[#This Row],[Discount_Value]]</f>
        <v>36000</v>
      </c>
      <c r="R335" s="15" t="s">
        <v>56</v>
      </c>
      <c r="S335" s="15" t="s">
        <v>21</v>
      </c>
      <c r="T335" s="15" t="s">
        <v>27</v>
      </c>
    </row>
    <row r="336" spans="1:20" s="12" customFormat="1" ht="30" customHeight="1" thickTop="1" thickBot="1" x14ac:dyDescent="0.4">
      <c r="A336" s="7">
        <v>1335</v>
      </c>
      <c r="B336" s="8">
        <v>45992</v>
      </c>
      <c r="C336" s="14" t="s">
        <v>28</v>
      </c>
      <c r="D336" s="14" t="s">
        <v>18</v>
      </c>
      <c r="E336" s="14" t="s">
        <v>25</v>
      </c>
      <c r="F336" s="14" t="s">
        <v>20</v>
      </c>
      <c r="G336" s="7">
        <v>8</v>
      </c>
      <c r="H336" s="7">
        <v>500</v>
      </c>
      <c r="I336" s="9">
        <v>5</v>
      </c>
      <c r="J336" s="10">
        <f>SALCE[[#This Row],[After_Discount]]*SALCE[[#This Row],[Tax_%]]/100</f>
        <v>5.32</v>
      </c>
      <c r="K336" s="11">
        <v>0.14000000000000001</v>
      </c>
      <c r="L336" s="10">
        <f>SALCE[[#This Row],[Quantity]]*SALCE[[#This Row],[Unit_Price]]</f>
        <v>4000</v>
      </c>
      <c r="M336" s="10">
        <f>SALCE[[#This Row],[Gross_Sales]]*SALCE[[#This Row],[Discount_%]]/100</f>
        <v>200</v>
      </c>
      <c r="N336" s="10">
        <f>SALCE[[#This Row],[After_Discount]]+SALCE[[#This Row],[Tax_Value]]</f>
        <v>3805.32</v>
      </c>
      <c r="O336" s="10">
        <f>SALCE[[#This Row],[Gross_Sales]]*70%</f>
        <v>2800</v>
      </c>
      <c r="P336" s="10">
        <f>SALCE[[#This Row],[Net_Sales]]-SALCE[[#This Row],[Cost_Price]]</f>
        <v>1005.3200000000002</v>
      </c>
      <c r="Q336" s="10">
        <f>SALCE[[#This Row],[Gross_Sales]]-SALCE[[#This Row],[Discount_Value]]</f>
        <v>3800</v>
      </c>
      <c r="R336" s="15" t="s">
        <v>54</v>
      </c>
      <c r="S336" s="15" t="s">
        <v>21</v>
      </c>
      <c r="T336" s="15" t="s">
        <v>22</v>
      </c>
    </row>
    <row r="337" spans="1:20" s="12" customFormat="1" ht="30" customHeight="1" thickTop="1" thickBot="1" x14ac:dyDescent="0.4">
      <c r="A337" s="7">
        <v>1336</v>
      </c>
      <c r="B337" s="8">
        <v>45993</v>
      </c>
      <c r="C337" s="14" t="s">
        <v>28</v>
      </c>
      <c r="D337" s="14" t="s">
        <v>36</v>
      </c>
      <c r="E337" s="14" t="s">
        <v>31</v>
      </c>
      <c r="F337" s="14" t="s">
        <v>32</v>
      </c>
      <c r="G337" s="7">
        <v>1</v>
      </c>
      <c r="H337" s="7">
        <v>15000</v>
      </c>
      <c r="I337" s="9">
        <v>15</v>
      </c>
      <c r="J337" s="10">
        <f>SALCE[[#This Row],[After_Discount]]*SALCE[[#This Row],[Tax_%]]/100</f>
        <v>17.850000000000001</v>
      </c>
      <c r="K337" s="11">
        <v>0.14000000000000001</v>
      </c>
      <c r="L337" s="10">
        <f>SALCE[[#This Row],[Quantity]]*SALCE[[#This Row],[Unit_Price]]</f>
        <v>15000</v>
      </c>
      <c r="M337" s="10">
        <f>SALCE[[#This Row],[Gross_Sales]]*SALCE[[#This Row],[Discount_%]]/100</f>
        <v>2250</v>
      </c>
      <c r="N337" s="10">
        <f>SALCE[[#This Row],[After_Discount]]+SALCE[[#This Row],[Tax_Value]]</f>
        <v>12767.85</v>
      </c>
      <c r="O337" s="10">
        <f>SALCE[[#This Row],[Gross_Sales]]*70%</f>
        <v>10500</v>
      </c>
      <c r="P337" s="10">
        <f>SALCE[[#This Row],[Net_Sales]]-SALCE[[#This Row],[Cost_Price]]</f>
        <v>2267.8500000000004</v>
      </c>
      <c r="Q337" s="10">
        <f>SALCE[[#This Row],[Gross_Sales]]-SALCE[[#This Row],[Discount_Value]]</f>
        <v>12750</v>
      </c>
      <c r="R337" s="15" t="s">
        <v>62</v>
      </c>
      <c r="S337" s="15" t="s">
        <v>21</v>
      </c>
      <c r="T337" s="15" t="s">
        <v>27</v>
      </c>
    </row>
    <row r="338" spans="1:20" s="12" customFormat="1" ht="30" customHeight="1" thickTop="1" thickBot="1" x14ac:dyDescent="0.4">
      <c r="A338" s="7">
        <v>1337</v>
      </c>
      <c r="B338" s="8">
        <v>45994</v>
      </c>
      <c r="C338" s="14" t="s">
        <v>39</v>
      </c>
      <c r="D338" s="14" t="s">
        <v>36</v>
      </c>
      <c r="E338" s="14" t="s">
        <v>40</v>
      </c>
      <c r="F338" s="14" t="s">
        <v>20</v>
      </c>
      <c r="G338" s="7">
        <v>9</v>
      </c>
      <c r="H338" s="7">
        <v>800</v>
      </c>
      <c r="I338" s="9">
        <v>15</v>
      </c>
      <c r="J338" s="10">
        <f>SALCE[[#This Row],[After_Discount]]*SALCE[[#This Row],[Tax_%]]/100</f>
        <v>8.5680000000000014</v>
      </c>
      <c r="K338" s="11">
        <v>0.14000000000000001</v>
      </c>
      <c r="L338" s="10">
        <f>SALCE[[#This Row],[Quantity]]*SALCE[[#This Row],[Unit_Price]]</f>
        <v>7200</v>
      </c>
      <c r="M338" s="10">
        <f>SALCE[[#This Row],[Gross_Sales]]*SALCE[[#This Row],[Discount_%]]/100</f>
        <v>1080</v>
      </c>
      <c r="N338" s="10">
        <f>SALCE[[#This Row],[After_Discount]]+SALCE[[#This Row],[Tax_Value]]</f>
        <v>6128.5680000000002</v>
      </c>
      <c r="O338" s="10">
        <f>SALCE[[#This Row],[Gross_Sales]]*70%</f>
        <v>5040</v>
      </c>
      <c r="P338" s="10">
        <f>SALCE[[#This Row],[Net_Sales]]-SALCE[[#This Row],[Cost_Price]]</f>
        <v>1088.5680000000002</v>
      </c>
      <c r="Q338" s="10">
        <f>SALCE[[#This Row],[Gross_Sales]]-SALCE[[#This Row],[Discount_Value]]</f>
        <v>6120</v>
      </c>
      <c r="R338" s="15" t="s">
        <v>51</v>
      </c>
      <c r="S338" s="15" t="s">
        <v>37</v>
      </c>
      <c r="T338" s="15" t="s">
        <v>22</v>
      </c>
    </row>
    <row r="339" spans="1:20" s="12" customFormat="1" ht="30" customHeight="1" thickTop="1" thickBot="1" x14ac:dyDescent="0.4">
      <c r="A339" s="7">
        <v>1338</v>
      </c>
      <c r="B339" s="8">
        <v>45995</v>
      </c>
      <c r="C339" s="14" t="s">
        <v>39</v>
      </c>
      <c r="D339" s="14" t="s">
        <v>38</v>
      </c>
      <c r="E339" s="14" t="s">
        <v>31</v>
      </c>
      <c r="F339" s="14" t="s">
        <v>32</v>
      </c>
      <c r="G339" s="7">
        <v>8</v>
      </c>
      <c r="H339" s="7">
        <v>15000</v>
      </c>
      <c r="I339" s="9">
        <v>0</v>
      </c>
      <c r="J339" s="10">
        <f>SALCE[[#This Row],[After_Discount]]*SALCE[[#This Row],[Tax_%]]/100</f>
        <v>168</v>
      </c>
      <c r="K339" s="11">
        <v>0.14000000000000001</v>
      </c>
      <c r="L339" s="10">
        <f>SALCE[[#This Row],[Quantity]]*SALCE[[#This Row],[Unit_Price]]</f>
        <v>120000</v>
      </c>
      <c r="M339" s="10">
        <f>SALCE[[#This Row],[Gross_Sales]]*SALCE[[#This Row],[Discount_%]]/100</f>
        <v>0</v>
      </c>
      <c r="N339" s="10">
        <f>SALCE[[#This Row],[After_Discount]]+SALCE[[#This Row],[Tax_Value]]</f>
        <v>120168</v>
      </c>
      <c r="O339" s="10">
        <f>SALCE[[#This Row],[Gross_Sales]]*70%</f>
        <v>84000</v>
      </c>
      <c r="P339" s="10">
        <f>SALCE[[#This Row],[Net_Sales]]-SALCE[[#This Row],[Cost_Price]]</f>
        <v>36168</v>
      </c>
      <c r="Q339" s="10">
        <f>SALCE[[#This Row],[Gross_Sales]]-SALCE[[#This Row],[Discount_Value]]</f>
        <v>120000</v>
      </c>
      <c r="R339" s="15" t="s">
        <v>52</v>
      </c>
      <c r="S339" s="15" t="s">
        <v>37</v>
      </c>
      <c r="T339" s="15" t="s">
        <v>22</v>
      </c>
    </row>
    <row r="340" spans="1:20" s="12" customFormat="1" ht="30" customHeight="1" thickTop="1" thickBot="1" x14ac:dyDescent="0.4">
      <c r="A340" s="7">
        <v>1339</v>
      </c>
      <c r="B340" s="8">
        <v>45996</v>
      </c>
      <c r="C340" s="14" t="s">
        <v>30</v>
      </c>
      <c r="D340" s="14" t="s">
        <v>36</v>
      </c>
      <c r="E340" s="14" t="s">
        <v>19</v>
      </c>
      <c r="F340" s="14" t="s">
        <v>20</v>
      </c>
      <c r="G340" s="7">
        <v>1</v>
      </c>
      <c r="H340" s="7">
        <v>300</v>
      </c>
      <c r="I340" s="9">
        <v>5</v>
      </c>
      <c r="J340" s="10">
        <f>SALCE[[#This Row],[After_Discount]]*SALCE[[#This Row],[Tax_%]]/100</f>
        <v>0.39900000000000008</v>
      </c>
      <c r="K340" s="11">
        <v>0.14000000000000001</v>
      </c>
      <c r="L340" s="10">
        <f>SALCE[[#This Row],[Quantity]]*SALCE[[#This Row],[Unit_Price]]</f>
        <v>300</v>
      </c>
      <c r="M340" s="10">
        <f>SALCE[[#This Row],[Gross_Sales]]*SALCE[[#This Row],[Discount_%]]/100</f>
        <v>15</v>
      </c>
      <c r="N340" s="10">
        <f>SALCE[[#This Row],[After_Discount]]+SALCE[[#This Row],[Tax_Value]]</f>
        <v>285.399</v>
      </c>
      <c r="O340" s="10">
        <f>SALCE[[#This Row],[Gross_Sales]]*70%</f>
        <v>210</v>
      </c>
      <c r="P340" s="10">
        <f>SALCE[[#This Row],[Net_Sales]]-SALCE[[#This Row],[Cost_Price]]</f>
        <v>75.399000000000001</v>
      </c>
      <c r="Q340" s="10">
        <f>SALCE[[#This Row],[Gross_Sales]]-SALCE[[#This Row],[Discount_Value]]</f>
        <v>285</v>
      </c>
      <c r="R340" s="15" t="s">
        <v>54</v>
      </c>
      <c r="S340" s="15" t="s">
        <v>21</v>
      </c>
      <c r="T340" s="15" t="s">
        <v>27</v>
      </c>
    </row>
    <row r="341" spans="1:20" s="12" customFormat="1" ht="30" customHeight="1" thickTop="1" thickBot="1" x14ac:dyDescent="0.4">
      <c r="A341" s="7">
        <v>1340</v>
      </c>
      <c r="B341" s="8">
        <v>45997</v>
      </c>
      <c r="C341" s="14" t="s">
        <v>39</v>
      </c>
      <c r="D341" s="14" t="s">
        <v>36</v>
      </c>
      <c r="E341" s="14" t="s">
        <v>40</v>
      </c>
      <c r="F341" s="14" t="s">
        <v>20</v>
      </c>
      <c r="G341" s="7">
        <v>1</v>
      </c>
      <c r="H341" s="7">
        <v>800</v>
      </c>
      <c r="I341" s="9">
        <v>15</v>
      </c>
      <c r="J341" s="10">
        <f>SALCE[[#This Row],[After_Discount]]*SALCE[[#This Row],[Tax_%]]/100</f>
        <v>0.95200000000000007</v>
      </c>
      <c r="K341" s="11">
        <v>0.14000000000000001</v>
      </c>
      <c r="L341" s="10">
        <f>SALCE[[#This Row],[Quantity]]*SALCE[[#This Row],[Unit_Price]]</f>
        <v>800</v>
      </c>
      <c r="M341" s="10">
        <f>SALCE[[#This Row],[Gross_Sales]]*SALCE[[#This Row],[Discount_%]]/100</f>
        <v>120</v>
      </c>
      <c r="N341" s="10">
        <f>SALCE[[#This Row],[After_Discount]]+SALCE[[#This Row],[Tax_Value]]</f>
        <v>680.952</v>
      </c>
      <c r="O341" s="10">
        <f>SALCE[[#This Row],[Gross_Sales]]*70%</f>
        <v>560</v>
      </c>
      <c r="P341" s="10">
        <f>SALCE[[#This Row],[Net_Sales]]-SALCE[[#This Row],[Cost_Price]]</f>
        <v>120.952</v>
      </c>
      <c r="Q341" s="10">
        <f>SALCE[[#This Row],[Gross_Sales]]-SALCE[[#This Row],[Discount_Value]]</f>
        <v>680</v>
      </c>
      <c r="R341" s="15" t="s">
        <v>50</v>
      </c>
      <c r="S341" s="15" t="s">
        <v>21</v>
      </c>
      <c r="T341" s="15" t="s">
        <v>27</v>
      </c>
    </row>
    <row r="342" spans="1:20" s="12" customFormat="1" ht="30" customHeight="1" thickTop="1" thickBot="1" x14ac:dyDescent="0.4">
      <c r="A342" s="7">
        <v>1341</v>
      </c>
      <c r="B342" s="8">
        <v>45998</v>
      </c>
      <c r="C342" s="14" t="s">
        <v>30</v>
      </c>
      <c r="D342" s="14" t="s">
        <v>29</v>
      </c>
      <c r="E342" s="14" t="s">
        <v>31</v>
      </c>
      <c r="F342" s="14" t="s">
        <v>32</v>
      </c>
      <c r="G342" s="7">
        <v>8</v>
      </c>
      <c r="H342" s="7">
        <v>15000</v>
      </c>
      <c r="I342" s="9">
        <v>0</v>
      </c>
      <c r="J342" s="10">
        <f>SALCE[[#This Row],[After_Discount]]*SALCE[[#This Row],[Tax_%]]/100</f>
        <v>168</v>
      </c>
      <c r="K342" s="11">
        <v>0.14000000000000001</v>
      </c>
      <c r="L342" s="10">
        <f>SALCE[[#This Row],[Quantity]]*SALCE[[#This Row],[Unit_Price]]</f>
        <v>120000</v>
      </c>
      <c r="M342" s="10">
        <f>SALCE[[#This Row],[Gross_Sales]]*SALCE[[#This Row],[Discount_%]]/100</f>
        <v>0</v>
      </c>
      <c r="N342" s="10">
        <f>SALCE[[#This Row],[After_Discount]]+SALCE[[#This Row],[Tax_Value]]</f>
        <v>120168</v>
      </c>
      <c r="O342" s="10">
        <f>SALCE[[#This Row],[Gross_Sales]]*70%</f>
        <v>84000</v>
      </c>
      <c r="P342" s="10">
        <f>SALCE[[#This Row],[Net_Sales]]-SALCE[[#This Row],[Cost_Price]]</f>
        <v>36168</v>
      </c>
      <c r="Q342" s="10">
        <f>SALCE[[#This Row],[Gross_Sales]]-SALCE[[#This Row],[Discount_Value]]</f>
        <v>120000</v>
      </c>
      <c r="R342" s="15" t="s">
        <v>57</v>
      </c>
      <c r="S342" s="15" t="s">
        <v>26</v>
      </c>
      <c r="T342" s="15" t="s">
        <v>22</v>
      </c>
    </row>
    <row r="343" spans="1:20" s="12" customFormat="1" ht="30" customHeight="1" thickTop="1" thickBot="1" x14ac:dyDescent="0.4">
      <c r="A343" s="7">
        <v>1342</v>
      </c>
      <c r="B343" s="8">
        <v>45999</v>
      </c>
      <c r="C343" s="14" t="s">
        <v>39</v>
      </c>
      <c r="D343" s="14" t="s">
        <v>41</v>
      </c>
      <c r="E343" s="14" t="s">
        <v>25</v>
      </c>
      <c r="F343" s="14" t="s">
        <v>20</v>
      </c>
      <c r="G343" s="7">
        <v>4</v>
      </c>
      <c r="H343" s="7">
        <v>500</v>
      </c>
      <c r="I343" s="9">
        <v>0</v>
      </c>
      <c r="J343" s="10">
        <f>SALCE[[#This Row],[After_Discount]]*SALCE[[#This Row],[Tax_%]]/100</f>
        <v>2.8</v>
      </c>
      <c r="K343" s="11">
        <v>0.14000000000000001</v>
      </c>
      <c r="L343" s="10">
        <f>SALCE[[#This Row],[Quantity]]*SALCE[[#This Row],[Unit_Price]]</f>
        <v>2000</v>
      </c>
      <c r="M343" s="10">
        <f>SALCE[[#This Row],[Gross_Sales]]*SALCE[[#This Row],[Discount_%]]/100</f>
        <v>0</v>
      </c>
      <c r="N343" s="10">
        <f>SALCE[[#This Row],[After_Discount]]+SALCE[[#This Row],[Tax_Value]]</f>
        <v>2002.8</v>
      </c>
      <c r="O343" s="10">
        <f>SALCE[[#This Row],[Gross_Sales]]*70%</f>
        <v>1400</v>
      </c>
      <c r="P343" s="10">
        <f>SALCE[[#This Row],[Net_Sales]]-SALCE[[#This Row],[Cost_Price]]</f>
        <v>602.79999999999995</v>
      </c>
      <c r="Q343" s="10">
        <f>SALCE[[#This Row],[Gross_Sales]]-SALCE[[#This Row],[Discount_Value]]</f>
        <v>2000</v>
      </c>
      <c r="R343" s="15" t="s">
        <v>52</v>
      </c>
      <c r="S343" s="15" t="s">
        <v>21</v>
      </c>
      <c r="T343" s="15" t="s">
        <v>27</v>
      </c>
    </row>
    <row r="344" spans="1:20" s="12" customFormat="1" ht="30" customHeight="1" thickTop="1" thickBot="1" x14ac:dyDescent="0.4">
      <c r="A344" s="7">
        <v>1343</v>
      </c>
      <c r="B344" s="8">
        <v>46000</v>
      </c>
      <c r="C344" s="14" t="s">
        <v>17</v>
      </c>
      <c r="D344" s="14" t="s">
        <v>24</v>
      </c>
      <c r="E344" s="14" t="s">
        <v>25</v>
      </c>
      <c r="F344" s="14" t="s">
        <v>20</v>
      </c>
      <c r="G344" s="7">
        <v>4</v>
      </c>
      <c r="H344" s="7">
        <v>500</v>
      </c>
      <c r="I344" s="9">
        <v>10</v>
      </c>
      <c r="J344" s="10">
        <f>SALCE[[#This Row],[After_Discount]]*SALCE[[#This Row],[Tax_%]]/100</f>
        <v>2.5200000000000005</v>
      </c>
      <c r="K344" s="11">
        <v>0.14000000000000001</v>
      </c>
      <c r="L344" s="10">
        <f>SALCE[[#This Row],[Quantity]]*SALCE[[#This Row],[Unit_Price]]</f>
        <v>2000</v>
      </c>
      <c r="M344" s="10">
        <f>SALCE[[#This Row],[Gross_Sales]]*SALCE[[#This Row],[Discount_%]]/100</f>
        <v>200</v>
      </c>
      <c r="N344" s="10">
        <f>SALCE[[#This Row],[After_Discount]]+SALCE[[#This Row],[Tax_Value]]</f>
        <v>1802.52</v>
      </c>
      <c r="O344" s="10">
        <f>SALCE[[#This Row],[Gross_Sales]]*70%</f>
        <v>1400</v>
      </c>
      <c r="P344" s="10">
        <f>SALCE[[#This Row],[Net_Sales]]-SALCE[[#This Row],[Cost_Price]]</f>
        <v>402.52</v>
      </c>
      <c r="Q344" s="10">
        <f>SALCE[[#This Row],[Gross_Sales]]-SALCE[[#This Row],[Discount_Value]]</f>
        <v>1800</v>
      </c>
      <c r="R344" s="15" t="s">
        <v>60</v>
      </c>
      <c r="S344" s="15" t="s">
        <v>26</v>
      </c>
      <c r="T344" s="15" t="s">
        <v>22</v>
      </c>
    </row>
    <row r="345" spans="1:20" s="12" customFormat="1" ht="30" customHeight="1" thickTop="1" thickBot="1" x14ac:dyDescent="0.4">
      <c r="A345" s="7">
        <v>1344</v>
      </c>
      <c r="B345" s="8">
        <v>46001</v>
      </c>
      <c r="C345" s="14" t="s">
        <v>30</v>
      </c>
      <c r="D345" s="14" t="s">
        <v>41</v>
      </c>
      <c r="E345" s="14" t="s">
        <v>25</v>
      </c>
      <c r="F345" s="14" t="s">
        <v>20</v>
      </c>
      <c r="G345" s="7">
        <v>4</v>
      </c>
      <c r="H345" s="7">
        <v>500</v>
      </c>
      <c r="I345" s="9">
        <v>0</v>
      </c>
      <c r="J345" s="10">
        <f>SALCE[[#This Row],[After_Discount]]*SALCE[[#This Row],[Tax_%]]/100</f>
        <v>2.8</v>
      </c>
      <c r="K345" s="11">
        <v>0.14000000000000001</v>
      </c>
      <c r="L345" s="10">
        <f>SALCE[[#This Row],[Quantity]]*SALCE[[#This Row],[Unit_Price]]</f>
        <v>2000</v>
      </c>
      <c r="M345" s="10">
        <f>SALCE[[#This Row],[Gross_Sales]]*SALCE[[#This Row],[Discount_%]]/100</f>
        <v>0</v>
      </c>
      <c r="N345" s="10">
        <f>SALCE[[#This Row],[After_Discount]]+SALCE[[#This Row],[Tax_Value]]</f>
        <v>2002.8</v>
      </c>
      <c r="O345" s="10">
        <f>SALCE[[#This Row],[Gross_Sales]]*70%</f>
        <v>1400</v>
      </c>
      <c r="P345" s="10">
        <f>SALCE[[#This Row],[Net_Sales]]-SALCE[[#This Row],[Cost_Price]]</f>
        <v>602.79999999999995</v>
      </c>
      <c r="Q345" s="10">
        <f>SALCE[[#This Row],[Gross_Sales]]-SALCE[[#This Row],[Discount_Value]]</f>
        <v>2000</v>
      </c>
      <c r="R345" s="15" t="s">
        <v>61</v>
      </c>
      <c r="S345" s="15" t="s">
        <v>37</v>
      </c>
      <c r="T345" s="15" t="s">
        <v>27</v>
      </c>
    </row>
    <row r="346" spans="1:20" s="12" customFormat="1" ht="30" customHeight="1" thickTop="1" thickBot="1" x14ac:dyDescent="0.4">
      <c r="A346" s="7">
        <v>1345</v>
      </c>
      <c r="B346" s="8">
        <v>46002</v>
      </c>
      <c r="C346" s="14" t="s">
        <v>17</v>
      </c>
      <c r="D346" s="14" t="s">
        <v>36</v>
      </c>
      <c r="E346" s="14" t="s">
        <v>40</v>
      </c>
      <c r="F346" s="14" t="s">
        <v>20</v>
      </c>
      <c r="G346" s="7">
        <v>5</v>
      </c>
      <c r="H346" s="7">
        <v>800</v>
      </c>
      <c r="I346" s="9">
        <v>5</v>
      </c>
      <c r="J346" s="10">
        <f>SALCE[[#This Row],[After_Discount]]*SALCE[[#This Row],[Tax_%]]/100</f>
        <v>5.32</v>
      </c>
      <c r="K346" s="11">
        <v>0.14000000000000001</v>
      </c>
      <c r="L346" s="10">
        <f>SALCE[[#This Row],[Quantity]]*SALCE[[#This Row],[Unit_Price]]</f>
        <v>4000</v>
      </c>
      <c r="M346" s="10">
        <f>SALCE[[#This Row],[Gross_Sales]]*SALCE[[#This Row],[Discount_%]]/100</f>
        <v>200</v>
      </c>
      <c r="N346" s="10">
        <f>SALCE[[#This Row],[After_Discount]]+SALCE[[#This Row],[Tax_Value]]</f>
        <v>3805.32</v>
      </c>
      <c r="O346" s="10">
        <f>SALCE[[#This Row],[Gross_Sales]]*70%</f>
        <v>2800</v>
      </c>
      <c r="P346" s="10">
        <f>SALCE[[#This Row],[Net_Sales]]-SALCE[[#This Row],[Cost_Price]]</f>
        <v>1005.3200000000002</v>
      </c>
      <c r="Q346" s="10">
        <f>SALCE[[#This Row],[Gross_Sales]]-SALCE[[#This Row],[Discount_Value]]</f>
        <v>3800</v>
      </c>
      <c r="R346" s="15" t="s">
        <v>61</v>
      </c>
      <c r="S346" s="15" t="s">
        <v>26</v>
      </c>
      <c r="T346" s="15" t="s">
        <v>27</v>
      </c>
    </row>
    <row r="347" spans="1:20" s="12" customFormat="1" ht="30" customHeight="1" thickTop="1" thickBot="1" x14ac:dyDescent="0.4">
      <c r="A347" s="7">
        <v>1346</v>
      </c>
      <c r="B347" s="8">
        <v>46003</v>
      </c>
      <c r="C347" s="14" t="s">
        <v>28</v>
      </c>
      <c r="D347" s="14" t="s">
        <v>24</v>
      </c>
      <c r="E347" s="14" t="s">
        <v>19</v>
      </c>
      <c r="F347" s="14" t="s">
        <v>20</v>
      </c>
      <c r="G347" s="7">
        <v>10</v>
      </c>
      <c r="H347" s="7">
        <v>300</v>
      </c>
      <c r="I347" s="9">
        <v>10</v>
      </c>
      <c r="J347" s="10">
        <f>SALCE[[#This Row],[After_Discount]]*SALCE[[#This Row],[Tax_%]]/100</f>
        <v>3.7800000000000007</v>
      </c>
      <c r="K347" s="11">
        <v>0.14000000000000001</v>
      </c>
      <c r="L347" s="10">
        <f>SALCE[[#This Row],[Quantity]]*SALCE[[#This Row],[Unit_Price]]</f>
        <v>3000</v>
      </c>
      <c r="M347" s="10">
        <f>SALCE[[#This Row],[Gross_Sales]]*SALCE[[#This Row],[Discount_%]]/100</f>
        <v>300</v>
      </c>
      <c r="N347" s="10">
        <f>SALCE[[#This Row],[After_Discount]]+SALCE[[#This Row],[Tax_Value]]</f>
        <v>2703.78</v>
      </c>
      <c r="O347" s="10">
        <f>SALCE[[#This Row],[Gross_Sales]]*70%</f>
        <v>2100</v>
      </c>
      <c r="P347" s="10">
        <f>SALCE[[#This Row],[Net_Sales]]-SALCE[[#This Row],[Cost_Price]]</f>
        <v>603.7800000000002</v>
      </c>
      <c r="Q347" s="10">
        <f>SALCE[[#This Row],[Gross_Sales]]-SALCE[[#This Row],[Discount_Value]]</f>
        <v>2700</v>
      </c>
      <c r="R347" s="15" t="s">
        <v>58</v>
      </c>
      <c r="S347" s="15" t="s">
        <v>21</v>
      </c>
      <c r="T347" s="15" t="s">
        <v>27</v>
      </c>
    </row>
    <row r="348" spans="1:20" s="12" customFormat="1" ht="30" customHeight="1" thickTop="1" thickBot="1" x14ac:dyDescent="0.4">
      <c r="A348" s="7">
        <v>1347</v>
      </c>
      <c r="B348" s="8">
        <v>46004</v>
      </c>
      <c r="C348" s="14" t="s">
        <v>30</v>
      </c>
      <c r="D348" s="14" t="s">
        <v>18</v>
      </c>
      <c r="E348" s="14" t="s">
        <v>31</v>
      </c>
      <c r="F348" s="14" t="s">
        <v>32</v>
      </c>
      <c r="G348" s="7">
        <v>4</v>
      </c>
      <c r="H348" s="7">
        <v>15000</v>
      </c>
      <c r="I348" s="9">
        <v>0</v>
      </c>
      <c r="J348" s="10">
        <f>SALCE[[#This Row],[After_Discount]]*SALCE[[#This Row],[Tax_%]]/100</f>
        <v>84</v>
      </c>
      <c r="K348" s="11">
        <v>0.14000000000000001</v>
      </c>
      <c r="L348" s="10">
        <f>SALCE[[#This Row],[Quantity]]*SALCE[[#This Row],[Unit_Price]]</f>
        <v>60000</v>
      </c>
      <c r="M348" s="10">
        <f>SALCE[[#This Row],[Gross_Sales]]*SALCE[[#This Row],[Discount_%]]/100</f>
        <v>0</v>
      </c>
      <c r="N348" s="10">
        <f>SALCE[[#This Row],[After_Discount]]+SALCE[[#This Row],[Tax_Value]]</f>
        <v>60084</v>
      </c>
      <c r="O348" s="10">
        <f>SALCE[[#This Row],[Gross_Sales]]*70%</f>
        <v>42000</v>
      </c>
      <c r="P348" s="10">
        <f>SALCE[[#This Row],[Net_Sales]]-SALCE[[#This Row],[Cost_Price]]</f>
        <v>18084</v>
      </c>
      <c r="Q348" s="10">
        <f>SALCE[[#This Row],[Gross_Sales]]-SALCE[[#This Row],[Discount_Value]]</f>
        <v>60000</v>
      </c>
      <c r="R348" s="15" t="s">
        <v>58</v>
      </c>
      <c r="S348" s="15" t="s">
        <v>21</v>
      </c>
      <c r="T348" s="15" t="s">
        <v>22</v>
      </c>
    </row>
    <row r="349" spans="1:20" s="12" customFormat="1" ht="30" customHeight="1" thickTop="1" thickBot="1" x14ac:dyDescent="0.4">
      <c r="A349" s="7">
        <v>1348</v>
      </c>
      <c r="B349" s="8">
        <v>46005</v>
      </c>
      <c r="C349" s="14" t="s">
        <v>17</v>
      </c>
      <c r="D349" s="14" t="s">
        <v>38</v>
      </c>
      <c r="E349" s="14" t="s">
        <v>25</v>
      </c>
      <c r="F349" s="14" t="s">
        <v>20</v>
      </c>
      <c r="G349" s="7">
        <v>2</v>
      </c>
      <c r="H349" s="7">
        <v>500</v>
      </c>
      <c r="I349" s="9">
        <v>10</v>
      </c>
      <c r="J349" s="10">
        <f>SALCE[[#This Row],[After_Discount]]*SALCE[[#This Row],[Tax_%]]/100</f>
        <v>1.2600000000000002</v>
      </c>
      <c r="K349" s="11">
        <v>0.14000000000000001</v>
      </c>
      <c r="L349" s="10">
        <f>SALCE[[#This Row],[Quantity]]*SALCE[[#This Row],[Unit_Price]]</f>
        <v>1000</v>
      </c>
      <c r="M349" s="10">
        <f>SALCE[[#This Row],[Gross_Sales]]*SALCE[[#This Row],[Discount_%]]/100</f>
        <v>100</v>
      </c>
      <c r="N349" s="10">
        <f>SALCE[[#This Row],[After_Discount]]+SALCE[[#This Row],[Tax_Value]]</f>
        <v>901.26</v>
      </c>
      <c r="O349" s="10">
        <f>SALCE[[#This Row],[Gross_Sales]]*70%</f>
        <v>700</v>
      </c>
      <c r="P349" s="10">
        <f>SALCE[[#This Row],[Net_Sales]]-SALCE[[#This Row],[Cost_Price]]</f>
        <v>201.26</v>
      </c>
      <c r="Q349" s="10">
        <f>SALCE[[#This Row],[Gross_Sales]]-SALCE[[#This Row],[Discount_Value]]</f>
        <v>900</v>
      </c>
      <c r="R349" s="15" t="s">
        <v>56</v>
      </c>
      <c r="S349" s="15" t="s">
        <v>21</v>
      </c>
      <c r="T349" s="15" t="s">
        <v>27</v>
      </c>
    </row>
    <row r="350" spans="1:20" s="12" customFormat="1" ht="30" customHeight="1" thickTop="1" thickBot="1" x14ac:dyDescent="0.4">
      <c r="A350" s="7">
        <v>1349</v>
      </c>
      <c r="B350" s="8">
        <v>46006</v>
      </c>
      <c r="C350" s="14" t="s">
        <v>39</v>
      </c>
      <c r="D350" s="14" t="s">
        <v>24</v>
      </c>
      <c r="E350" s="14" t="s">
        <v>25</v>
      </c>
      <c r="F350" s="14" t="s">
        <v>20</v>
      </c>
      <c r="G350" s="7">
        <v>4</v>
      </c>
      <c r="H350" s="7">
        <v>500</v>
      </c>
      <c r="I350" s="9">
        <v>0</v>
      </c>
      <c r="J350" s="10">
        <f>SALCE[[#This Row],[After_Discount]]*SALCE[[#This Row],[Tax_%]]/100</f>
        <v>2.8</v>
      </c>
      <c r="K350" s="11">
        <v>0.14000000000000001</v>
      </c>
      <c r="L350" s="10">
        <f>SALCE[[#This Row],[Quantity]]*SALCE[[#This Row],[Unit_Price]]</f>
        <v>2000</v>
      </c>
      <c r="M350" s="10">
        <f>SALCE[[#This Row],[Gross_Sales]]*SALCE[[#This Row],[Discount_%]]/100</f>
        <v>0</v>
      </c>
      <c r="N350" s="10">
        <f>SALCE[[#This Row],[After_Discount]]+SALCE[[#This Row],[Tax_Value]]</f>
        <v>2002.8</v>
      </c>
      <c r="O350" s="10">
        <f>SALCE[[#This Row],[Gross_Sales]]*70%</f>
        <v>1400</v>
      </c>
      <c r="P350" s="10">
        <f>SALCE[[#This Row],[Net_Sales]]-SALCE[[#This Row],[Cost_Price]]</f>
        <v>602.79999999999995</v>
      </c>
      <c r="Q350" s="10">
        <f>SALCE[[#This Row],[Gross_Sales]]-SALCE[[#This Row],[Discount_Value]]</f>
        <v>2000</v>
      </c>
      <c r="R350" s="15" t="s">
        <v>61</v>
      </c>
      <c r="S350" s="15" t="s">
        <v>26</v>
      </c>
      <c r="T350" s="15" t="s">
        <v>27</v>
      </c>
    </row>
    <row r="351" spans="1:20" s="12" customFormat="1" ht="30" customHeight="1" thickTop="1" thickBot="1" x14ac:dyDescent="0.4">
      <c r="A351" s="7">
        <v>1350</v>
      </c>
      <c r="B351" s="8">
        <v>46007</v>
      </c>
      <c r="C351" s="14" t="s">
        <v>35</v>
      </c>
      <c r="D351" s="14" t="s">
        <v>38</v>
      </c>
      <c r="E351" s="14" t="s">
        <v>31</v>
      </c>
      <c r="F351" s="14" t="s">
        <v>32</v>
      </c>
      <c r="G351" s="7">
        <v>5</v>
      </c>
      <c r="H351" s="7">
        <v>15000</v>
      </c>
      <c r="I351" s="9">
        <v>5</v>
      </c>
      <c r="J351" s="10">
        <f>SALCE[[#This Row],[After_Discount]]*SALCE[[#This Row],[Tax_%]]/100</f>
        <v>99.750000000000014</v>
      </c>
      <c r="K351" s="11">
        <v>0.14000000000000001</v>
      </c>
      <c r="L351" s="10">
        <f>SALCE[[#This Row],[Quantity]]*SALCE[[#This Row],[Unit_Price]]</f>
        <v>75000</v>
      </c>
      <c r="M351" s="10">
        <f>SALCE[[#This Row],[Gross_Sales]]*SALCE[[#This Row],[Discount_%]]/100</f>
        <v>3750</v>
      </c>
      <c r="N351" s="10">
        <f>SALCE[[#This Row],[After_Discount]]+SALCE[[#This Row],[Tax_Value]]</f>
        <v>71349.75</v>
      </c>
      <c r="O351" s="10">
        <f>SALCE[[#This Row],[Gross_Sales]]*70%</f>
        <v>52500</v>
      </c>
      <c r="P351" s="10">
        <f>SALCE[[#This Row],[Net_Sales]]-SALCE[[#This Row],[Cost_Price]]</f>
        <v>18849.75</v>
      </c>
      <c r="Q351" s="10">
        <f>SALCE[[#This Row],[Gross_Sales]]-SALCE[[#This Row],[Discount_Value]]</f>
        <v>71250</v>
      </c>
      <c r="R351" s="15" t="s">
        <v>56</v>
      </c>
      <c r="S351" s="15" t="s">
        <v>26</v>
      </c>
      <c r="T351" s="15" t="s">
        <v>27</v>
      </c>
    </row>
    <row r="352" spans="1:20" s="12" customFormat="1" ht="30" customHeight="1" thickTop="1" thickBot="1" x14ac:dyDescent="0.4">
      <c r="A352" s="7">
        <v>1351</v>
      </c>
      <c r="B352" s="8">
        <v>46008</v>
      </c>
      <c r="C352" s="14" t="s">
        <v>23</v>
      </c>
      <c r="D352" s="14" t="s">
        <v>18</v>
      </c>
      <c r="E352" s="14" t="s">
        <v>34</v>
      </c>
      <c r="F352" s="14" t="s">
        <v>32</v>
      </c>
      <c r="G352" s="7">
        <v>10</v>
      </c>
      <c r="H352" s="7">
        <v>4000</v>
      </c>
      <c r="I352" s="9">
        <v>10</v>
      </c>
      <c r="J352" s="10">
        <f>SALCE[[#This Row],[After_Discount]]*SALCE[[#This Row],[Tax_%]]/100</f>
        <v>50.400000000000006</v>
      </c>
      <c r="K352" s="11">
        <v>0.14000000000000001</v>
      </c>
      <c r="L352" s="10">
        <f>SALCE[[#This Row],[Quantity]]*SALCE[[#This Row],[Unit_Price]]</f>
        <v>40000</v>
      </c>
      <c r="M352" s="10">
        <f>SALCE[[#This Row],[Gross_Sales]]*SALCE[[#This Row],[Discount_%]]/100</f>
        <v>4000</v>
      </c>
      <c r="N352" s="10">
        <f>SALCE[[#This Row],[After_Discount]]+SALCE[[#This Row],[Tax_Value]]</f>
        <v>36050.400000000001</v>
      </c>
      <c r="O352" s="10">
        <f>SALCE[[#This Row],[Gross_Sales]]*70%</f>
        <v>28000</v>
      </c>
      <c r="P352" s="10">
        <f>SALCE[[#This Row],[Net_Sales]]-SALCE[[#This Row],[Cost_Price]]</f>
        <v>8050.4000000000015</v>
      </c>
      <c r="Q352" s="10">
        <f>SALCE[[#This Row],[Gross_Sales]]-SALCE[[#This Row],[Discount_Value]]</f>
        <v>36000</v>
      </c>
      <c r="R352" s="15" t="s">
        <v>53</v>
      </c>
      <c r="S352" s="15" t="s">
        <v>21</v>
      </c>
      <c r="T352" s="15" t="s">
        <v>27</v>
      </c>
    </row>
    <row r="353" spans="1:20" s="12" customFormat="1" ht="30" customHeight="1" thickTop="1" thickBot="1" x14ac:dyDescent="0.4">
      <c r="A353" s="7">
        <v>1352</v>
      </c>
      <c r="B353" s="8">
        <v>46009</v>
      </c>
      <c r="C353" s="14" t="s">
        <v>23</v>
      </c>
      <c r="D353" s="14" t="s">
        <v>36</v>
      </c>
      <c r="E353" s="14" t="s">
        <v>31</v>
      </c>
      <c r="F353" s="14" t="s">
        <v>32</v>
      </c>
      <c r="G353" s="7">
        <v>4</v>
      </c>
      <c r="H353" s="7">
        <v>15000</v>
      </c>
      <c r="I353" s="9">
        <v>0</v>
      </c>
      <c r="J353" s="10">
        <f>SALCE[[#This Row],[After_Discount]]*SALCE[[#This Row],[Tax_%]]/100</f>
        <v>84</v>
      </c>
      <c r="K353" s="11">
        <v>0.14000000000000001</v>
      </c>
      <c r="L353" s="10">
        <f>SALCE[[#This Row],[Quantity]]*SALCE[[#This Row],[Unit_Price]]</f>
        <v>60000</v>
      </c>
      <c r="M353" s="10">
        <f>SALCE[[#This Row],[Gross_Sales]]*SALCE[[#This Row],[Discount_%]]/100</f>
        <v>0</v>
      </c>
      <c r="N353" s="10">
        <f>SALCE[[#This Row],[After_Discount]]+SALCE[[#This Row],[Tax_Value]]</f>
        <v>60084</v>
      </c>
      <c r="O353" s="10">
        <f>SALCE[[#This Row],[Gross_Sales]]*70%</f>
        <v>42000</v>
      </c>
      <c r="P353" s="10">
        <f>SALCE[[#This Row],[Net_Sales]]-SALCE[[#This Row],[Cost_Price]]</f>
        <v>18084</v>
      </c>
      <c r="Q353" s="10">
        <f>SALCE[[#This Row],[Gross_Sales]]-SALCE[[#This Row],[Discount_Value]]</f>
        <v>60000</v>
      </c>
      <c r="R353" s="15" t="s">
        <v>51</v>
      </c>
      <c r="S353" s="15" t="s">
        <v>21</v>
      </c>
      <c r="T353" s="15" t="s">
        <v>22</v>
      </c>
    </row>
    <row r="354" spans="1:20" s="12" customFormat="1" ht="30" customHeight="1" thickTop="1" thickBot="1" x14ac:dyDescent="0.4">
      <c r="A354" s="7">
        <v>1353</v>
      </c>
      <c r="B354" s="8">
        <v>46010</v>
      </c>
      <c r="C354" s="14" t="s">
        <v>17</v>
      </c>
      <c r="D354" s="14" t="s">
        <v>41</v>
      </c>
      <c r="E354" s="14" t="s">
        <v>31</v>
      </c>
      <c r="F354" s="14" t="s">
        <v>32</v>
      </c>
      <c r="G354" s="7">
        <v>4</v>
      </c>
      <c r="H354" s="7">
        <v>15000</v>
      </c>
      <c r="I354" s="9">
        <v>10</v>
      </c>
      <c r="J354" s="10">
        <f>SALCE[[#This Row],[After_Discount]]*SALCE[[#This Row],[Tax_%]]/100</f>
        <v>75.600000000000009</v>
      </c>
      <c r="K354" s="11">
        <v>0.14000000000000001</v>
      </c>
      <c r="L354" s="10">
        <f>SALCE[[#This Row],[Quantity]]*SALCE[[#This Row],[Unit_Price]]</f>
        <v>60000</v>
      </c>
      <c r="M354" s="10">
        <f>SALCE[[#This Row],[Gross_Sales]]*SALCE[[#This Row],[Discount_%]]/100</f>
        <v>6000</v>
      </c>
      <c r="N354" s="10">
        <f>SALCE[[#This Row],[After_Discount]]+SALCE[[#This Row],[Tax_Value]]</f>
        <v>54075.6</v>
      </c>
      <c r="O354" s="10">
        <f>SALCE[[#This Row],[Gross_Sales]]*70%</f>
        <v>42000</v>
      </c>
      <c r="P354" s="10">
        <f>SALCE[[#This Row],[Net_Sales]]-SALCE[[#This Row],[Cost_Price]]</f>
        <v>12075.599999999999</v>
      </c>
      <c r="Q354" s="10">
        <f>SALCE[[#This Row],[Gross_Sales]]-SALCE[[#This Row],[Discount_Value]]</f>
        <v>54000</v>
      </c>
      <c r="R354" s="15" t="s">
        <v>60</v>
      </c>
      <c r="S354" s="15" t="s">
        <v>37</v>
      </c>
      <c r="T354" s="15" t="s">
        <v>22</v>
      </c>
    </row>
    <row r="355" spans="1:20" s="12" customFormat="1" ht="30" customHeight="1" thickTop="1" thickBot="1" x14ac:dyDescent="0.4">
      <c r="A355" s="7">
        <v>1354</v>
      </c>
      <c r="B355" s="8">
        <v>46011</v>
      </c>
      <c r="C355" s="14" t="s">
        <v>28</v>
      </c>
      <c r="D355" s="14" t="s">
        <v>36</v>
      </c>
      <c r="E355" s="14" t="s">
        <v>40</v>
      </c>
      <c r="F355" s="14" t="s">
        <v>20</v>
      </c>
      <c r="G355" s="7">
        <v>2</v>
      </c>
      <c r="H355" s="7">
        <v>800</v>
      </c>
      <c r="I355" s="9">
        <v>5</v>
      </c>
      <c r="J355" s="10">
        <f>SALCE[[#This Row],[After_Discount]]*SALCE[[#This Row],[Tax_%]]/100</f>
        <v>2.1280000000000001</v>
      </c>
      <c r="K355" s="11">
        <v>0.14000000000000001</v>
      </c>
      <c r="L355" s="10">
        <f>SALCE[[#This Row],[Quantity]]*SALCE[[#This Row],[Unit_Price]]</f>
        <v>1600</v>
      </c>
      <c r="M355" s="10">
        <f>SALCE[[#This Row],[Gross_Sales]]*SALCE[[#This Row],[Discount_%]]/100</f>
        <v>80</v>
      </c>
      <c r="N355" s="10">
        <f>SALCE[[#This Row],[After_Discount]]+SALCE[[#This Row],[Tax_Value]]</f>
        <v>1522.1279999999999</v>
      </c>
      <c r="O355" s="10">
        <f>SALCE[[#This Row],[Gross_Sales]]*70%</f>
        <v>1120</v>
      </c>
      <c r="P355" s="10">
        <f>SALCE[[#This Row],[Net_Sales]]-SALCE[[#This Row],[Cost_Price]]</f>
        <v>402.12799999999993</v>
      </c>
      <c r="Q355" s="10">
        <f>SALCE[[#This Row],[Gross_Sales]]-SALCE[[#This Row],[Discount_Value]]</f>
        <v>1520</v>
      </c>
      <c r="R355" s="15" t="s">
        <v>57</v>
      </c>
      <c r="S355" s="15" t="s">
        <v>37</v>
      </c>
      <c r="T355" s="15" t="s">
        <v>27</v>
      </c>
    </row>
    <row r="356" spans="1:20" s="12" customFormat="1" ht="30" customHeight="1" thickTop="1" thickBot="1" x14ac:dyDescent="0.4">
      <c r="A356" s="7">
        <v>1355</v>
      </c>
      <c r="B356" s="8">
        <v>46012</v>
      </c>
      <c r="C356" s="14" t="s">
        <v>28</v>
      </c>
      <c r="D356" s="14" t="s">
        <v>38</v>
      </c>
      <c r="E356" s="14" t="s">
        <v>40</v>
      </c>
      <c r="F356" s="14" t="s">
        <v>20</v>
      </c>
      <c r="G356" s="7">
        <v>6</v>
      </c>
      <c r="H356" s="7">
        <v>800</v>
      </c>
      <c r="I356" s="9">
        <v>5</v>
      </c>
      <c r="J356" s="10">
        <f>SALCE[[#This Row],[After_Discount]]*SALCE[[#This Row],[Tax_%]]/100</f>
        <v>6.3840000000000012</v>
      </c>
      <c r="K356" s="11">
        <v>0.14000000000000001</v>
      </c>
      <c r="L356" s="10">
        <f>SALCE[[#This Row],[Quantity]]*SALCE[[#This Row],[Unit_Price]]</f>
        <v>4800</v>
      </c>
      <c r="M356" s="10">
        <f>SALCE[[#This Row],[Gross_Sales]]*SALCE[[#This Row],[Discount_%]]/100</f>
        <v>240</v>
      </c>
      <c r="N356" s="10">
        <f>SALCE[[#This Row],[After_Discount]]+SALCE[[#This Row],[Tax_Value]]</f>
        <v>4566.384</v>
      </c>
      <c r="O356" s="10">
        <f>SALCE[[#This Row],[Gross_Sales]]*70%</f>
        <v>3360</v>
      </c>
      <c r="P356" s="10">
        <f>SALCE[[#This Row],[Net_Sales]]-SALCE[[#This Row],[Cost_Price]]</f>
        <v>1206.384</v>
      </c>
      <c r="Q356" s="10">
        <f>SALCE[[#This Row],[Gross_Sales]]-SALCE[[#This Row],[Discount_Value]]</f>
        <v>4560</v>
      </c>
      <c r="R356" s="15" t="s">
        <v>62</v>
      </c>
      <c r="S356" s="15" t="s">
        <v>37</v>
      </c>
      <c r="T356" s="15" t="s">
        <v>22</v>
      </c>
    </row>
    <row r="357" spans="1:20" s="12" customFormat="1" ht="30" customHeight="1" thickTop="1" thickBot="1" x14ac:dyDescent="0.4">
      <c r="A357" s="7">
        <v>1356</v>
      </c>
      <c r="B357" s="8">
        <v>46013</v>
      </c>
      <c r="C357" s="14" t="s">
        <v>35</v>
      </c>
      <c r="D357" s="14" t="s">
        <v>18</v>
      </c>
      <c r="E357" s="14" t="s">
        <v>19</v>
      </c>
      <c r="F357" s="14" t="s">
        <v>20</v>
      </c>
      <c r="G357" s="7">
        <v>5</v>
      </c>
      <c r="H357" s="7">
        <v>300</v>
      </c>
      <c r="I357" s="9">
        <v>5</v>
      </c>
      <c r="J357" s="10">
        <f>SALCE[[#This Row],[After_Discount]]*SALCE[[#This Row],[Tax_%]]/100</f>
        <v>1.9950000000000003</v>
      </c>
      <c r="K357" s="11">
        <v>0.14000000000000001</v>
      </c>
      <c r="L357" s="10">
        <f>SALCE[[#This Row],[Quantity]]*SALCE[[#This Row],[Unit_Price]]</f>
        <v>1500</v>
      </c>
      <c r="M357" s="10">
        <f>SALCE[[#This Row],[Gross_Sales]]*SALCE[[#This Row],[Discount_%]]/100</f>
        <v>75</v>
      </c>
      <c r="N357" s="10">
        <f>SALCE[[#This Row],[After_Discount]]+SALCE[[#This Row],[Tax_Value]]</f>
        <v>1426.9949999999999</v>
      </c>
      <c r="O357" s="10">
        <f>SALCE[[#This Row],[Gross_Sales]]*70%</f>
        <v>1050</v>
      </c>
      <c r="P357" s="10">
        <f>SALCE[[#This Row],[Net_Sales]]-SALCE[[#This Row],[Cost_Price]]</f>
        <v>376.99499999999989</v>
      </c>
      <c r="Q357" s="10">
        <f>SALCE[[#This Row],[Gross_Sales]]-SALCE[[#This Row],[Discount_Value]]</f>
        <v>1425</v>
      </c>
      <c r="R357" s="15" t="s">
        <v>52</v>
      </c>
      <c r="S357" s="15" t="s">
        <v>26</v>
      </c>
      <c r="T357" s="15" t="s">
        <v>27</v>
      </c>
    </row>
    <row r="358" spans="1:20" s="12" customFormat="1" ht="30" customHeight="1" thickTop="1" thickBot="1" x14ac:dyDescent="0.4">
      <c r="A358" s="7">
        <v>1357</v>
      </c>
      <c r="B358" s="8">
        <v>46014</v>
      </c>
      <c r="C358" s="14" t="s">
        <v>17</v>
      </c>
      <c r="D358" s="14" t="s">
        <v>24</v>
      </c>
      <c r="E358" s="14" t="s">
        <v>31</v>
      </c>
      <c r="F358" s="14" t="s">
        <v>32</v>
      </c>
      <c r="G358" s="7">
        <v>6</v>
      </c>
      <c r="H358" s="7">
        <v>15000</v>
      </c>
      <c r="I358" s="9">
        <v>15</v>
      </c>
      <c r="J358" s="10">
        <f>SALCE[[#This Row],[After_Discount]]*SALCE[[#This Row],[Tax_%]]/100</f>
        <v>107.10000000000002</v>
      </c>
      <c r="K358" s="11">
        <v>0.14000000000000001</v>
      </c>
      <c r="L358" s="10">
        <f>SALCE[[#This Row],[Quantity]]*SALCE[[#This Row],[Unit_Price]]</f>
        <v>90000</v>
      </c>
      <c r="M358" s="10">
        <f>SALCE[[#This Row],[Gross_Sales]]*SALCE[[#This Row],[Discount_%]]/100</f>
        <v>13500</v>
      </c>
      <c r="N358" s="10">
        <f>SALCE[[#This Row],[After_Discount]]+SALCE[[#This Row],[Tax_Value]]</f>
        <v>76607.100000000006</v>
      </c>
      <c r="O358" s="10">
        <f>SALCE[[#This Row],[Gross_Sales]]*70%</f>
        <v>62999.999999999993</v>
      </c>
      <c r="P358" s="10">
        <f>SALCE[[#This Row],[Net_Sales]]-SALCE[[#This Row],[Cost_Price]]</f>
        <v>13607.100000000013</v>
      </c>
      <c r="Q358" s="10">
        <f>SALCE[[#This Row],[Gross_Sales]]-SALCE[[#This Row],[Discount_Value]]</f>
        <v>76500</v>
      </c>
      <c r="R358" s="15" t="s">
        <v>47</v>
      </c>
      <c r="S358" s="15" t="s">
        <v>26</v>
      </c>
      <c r="T358" s="15" t="s">
        <v>22</v>
      </c>
    </row>
    <row r="359" spans="1:20" s="12" customFormat="1" ht="30" customHeight="1" thickTop="1" thickBot="1" x14ac:dyDescent="0.4">
      <c r="A359" s="7">
        <v>1358</v>
      </c>
      <c r="B359" s="8">
        <v>46015</v>
      </c>
      <c r="C359" s="14" t="s">
        <v>23</v>
      </c>
      <c r="D359" s="14" t="s">
        <v>29</v>
      </c>
      <c r="E359" s="14" t="s">
        <v>25</v>
      </c>
      <c r="F359" s="14" t="s">
        <v>20</v>
      </c>
      <c r="G359" s="7">
        <v>7</v>
      </c>
      <c r="H359" s="7">
        <v>500</v>
      </c>
      <c r="I359" s="9">
        <v>10</v>
      </c>
      <c r="J359" s="10">
        <f>SALCE[[#This Row],[After_Discount]]*SALCE[[#This Row],[Tax_%]]/100</f>
        <v>4.41</v>
      </c>
      <c r="K359" s="11">
        <v>0.14000000000000001</v>
      </c>
      <c r="L359" s="10">
        <f>SALCE[[#This Row],[Quantity]]*SALCE[[#This Row],[Unit_Price]]</f>
        <v>3500</v>
      </c>
      <c r="M359" s="10">
        <f>SALCE[[#This Row],[Gross_Sales]]*SALCE[[#This Row],[Discount_%]]/100</f>
        <v>350</v>
      </c>
      <c r="N359" s="10">
        <f>SALCE[[#This Row],[After_Discount]]+SALCE[[#This Row],[Tax_Value]]</f>
        <v>3154.41</v>
      </c>
      <c r="O359" s="10">
        <f>SALCE[[#This Row],[Gross_Sales]]*70%</f>
        <v>2450</v>
      </c>
      <c r="P359" s="10">
        <f>SALCE[[#This Row],[Net_Sales]]-SALCE[[#This Row],[Cost_Price]]</f>
        <v>704.40999999999985</v>
      </c>
      <c r="Q359" s="10">
        <f>SALCE[[#This Row],[Gross_Sales]]-SALCE[[#This Row],[Discount_Value]]</f>
        <v>3150</v>
      </c>
      <c r="R359" s="15" t="s">
        <v>53</v>
      </c>
      <c r="S359" s="15" t="s">
        <v>37</v>
      </c>
      <c r="T359" s="15" t="s">
        <v>22</v>
      </c>
    </row>
    <row r="360" spans="1:20" s="12" customFormat="1" ht="30" customHeight="1" thickTop="1" thickBot="1" x14ac:dyDescent="0.4">
      <c r="A360" s="7">
        <v>1359</v>
      </c>
      <c r="B360" s="8">
        <v>46016</v>
      </c>
      <c r="C360" s="14" t="s">
        <v>23</v>
      </c>
      <c r="D360" s="14" t="s">
        <v>29</v>
      </c>
      <c r="E360" s="14" t="s">
        <v>19</v>
      </c>
      <c r="F360" s="14" t="s">
        <v>20</v>
      </c>
      <c r="G360" s="7">
        <v>3</v>
      </c>
      <c r="H360" s="7">
        <v>300</v>
      </c>
      <c r="I360" s="9">
        <v>10</v>
      </c>
      <c r="J360" s="10">
        <f>SALCE[[#This Row],[After_Discount]]*SALCE[[#This Row],[Tax_%]]/100</f>
        <v>1.1340000000000001</v>
      </c>
      <c r="K360" s="11">
        <v>0.14000000000000001</v>
      </c>
      <c r="L360" s="10">
        <f>SALCE[[#This Row],[Quantity]]*SALCE[[#This Row],[Unit_Price]]</f>
        <v>900</v>
      </c>
      <c r="M360" s="10">
        <f>SALCE[[#This Row],[Gross_Sales]]*SALCE[[#This Row],[Discount_%]]/100</f>
        <v>90</v>
      </c>
      <c r="N360" s="10">
        <f>SALCE[[#This Row],[After_Discount]]+SALCE[[#This Row],[Tax_Value]]</f>
        <v>811.13400000000001</v>
      </c>
      <c r="O360" s="10">
        <f>SALCE[[#This Row],[Gross_Sales]]*70%</f>
        <v>630</v>
      </c>
      <c r="P360" s="10">
        <f>SALCE[[#This Row],[Net_Sales]]-SALCE[[#This Row],[Cost_Price]]</f>
        <v>181.13400000000001</v>
      </c>
      <c r="Q360" s="10">
        <f>SALCE[[#This Row],[Gross_Sales]]-SALCE[[#This Row],[Discount_Value]]</f>
        <v>810</v>
      </c>
      <c r="R360" s="15" t="s">
        <v>56</v>
      </c>
      <c r="S360" s="15" t="s">
        <v>26</v>
      </c>
      <c r="T360" s="15" t="s">
        <v>27</v>
      </c>
    </row>
    <row r="361" spans="1:20" s="12" customFormat="1" ht="30" customHeight="1" thickTop="1" thickBot="1" x14ac:dyDescent="0.4">
      <c r="A361" s="7">
        <v>1360</v>
      </c>
      <c r="B361" s="8">
        <v>46017</v>
      </c>
      <c r="C361" s="14" t="s">
        <v>17</v>
      </c>
      <c r="D361" s="14" t="s">
        <v>24</v>
      </c>
      <c r="E361" s="14" t="s">
        <v>34</v>
      </c>
      <c r="F361" s="14" t="s">
        <v>32</v>
      </c>
      <c r="G361" s="7">
        <v>7</v>
      </c>
      <c r="H361" s="7">
        <v>4000</v>
      </c>
      <c r="I361" s="9">
        <v>0</v>
      </c>
      <c r="J361" s="10">
        <f>SALCE[[#This Row],[After_Discount]]*SALCE[[#This Row],[Tax_%]]/100</f>
        <v>39.200000000000003</v>
      </c>
      <c r="K361" s="11">
        <v>0.14000000000000001</v>
      </c>
      <c r="L361" s="10">
        <f>SALCE[[#This Row],[Quantity]]*SALCE[[#This Row],[Unit_Price]]</f>
        <v>28000</v>
      </c>
      <c r="M361" s="10">
        <f>SALCE[[#This Row],[Gross_Sales]]*SALCE[[#This Row],[Discount_%]]/100</f>
        <v>0</v>
      </c>
      <c r="N361" s="10">
        <f>SALCE[[#This Row],[After_Discount]]+SALCE[[#This Row],[Tax_Value]]</f>
        <v>28039.200000000001</v>
      </c>
      <c r="O361" s="10">
        <f>SALCE[[#This Row],[Gross_Sales]]*70%</f>
        <v>19600</v>
      </c>
      <c r="P361" s="10">
        <f>SALCE[[#This Row],[Net_Sales]]-SALCE[[#This Row],[Cost_Price]]</f>
        <v>8439.2000000000007</v>
      </c>
      <c r="Q361" s="10">
        <f>SALCE[[#This Row],[Gross_Sales]]-SALCE[[#This Row],[Discount_Value]]</f>
        <v>28000</v>
      </c>
      <c r="R361" s="15" t="s">
        <v>52</v>
      </c>
      <c r="S361" s="15" t="s">
        <v>26</v>
      </c>
      <c r="T361" s="15" t="s">
        <v>22</v>
      </c>
    </row>
    <row r="362" spans="1:20" s="12" customFormat="1" ht="30" customHeight="1" thickTop="1" thickBot="1" x14ac:dyDescent="0.4">
      <c r="A362" s="7">
        <v>1361</v>
      </c>
      <c r="B362" s="8">
        <v>46018</v>
      </c>
      <c r="C362" s="14" t="s">
        <v>35</v>
      </c>
      <c r="D362" s="14" t="s">
        <v>41</v>
      </c>
      <c r="E362" s="14" t="s">
        <v>25</v>
      </c>
      <c r="F362" s="14" t="s">
        <v>20</v>
      </c>
      <c r="G362" s="7">
        <v>2</v>
      </c>
      <c r="H362" s="7">
        <v>500</v>
      </c>
      <c r="I362" s="9">
        <v>10</v>
      </c>
      <c r="J362" s="10">
        <f>SALCE[[#This Row],[After_Discount]]*SALCE[[#This Row],[Tax_%]]/100</f>
        <v>1.2600000000000002</v>
      </c>
      <c r="K362" s="11">
        <v>0.14000000000000001</v>
      </c>
      <c r="L362" s="10">
        <f>SALCE[[#This Row],[Quantity]]*SALCE[[#This Row],[Unit_Price]]</f>
        <v>1000</v>
      </c>
      <c r="M362" s="10">
        <f>SALCE[[#This Row],[Gross_Sales]]*SALCE[[#This Row],[Discount_%]]/100</f>
        <v>100</v>
      </c>
      <c r="N362" s="10">
        <f>SALCE[[#This Row],[After_Discount]]+SALCE[[#This Row],[Tax_Value]]</f>
        <v>901.26</v>
      </c>
      <c r="O362" s="10">
        <f>SALCE[[#This Row],[Gross_Sales]]*70%</f>
        <v>700</v>
      </c>
      <c r="P362" s="10">
        <f>SALCE[[#This Row],[Net_Sales]]-SALCE[[#This Row],[Cost_Price]]</f>
        <v>201.26</v>
      </c>
      <c r="Q362" s="10">
        <f>SALCE[[#This Row],[Gross_Sales]]-SALCE[[#This Row],[Discount_Value]]</f>
        <v>900</v>
      </c>
      <c r="R362" s="15" t="s">
        <v>61</v>
      </c>
      <c r="S362" s="15" t="s">
        <v>26</v>
      </c>
      <c r="T362" s="15" t="s">
        <v>22</v>
      </c>
    </row>
    <row r="363" spans="1:20" s="12" customFormat="1" ht="30" customHeight="1" thickTop="1" thickBot="1" x14ac:dyDescent="0.4">
      <c r="A363" s="7">
        <v>1362</v>
      </c>
      <c r="B363" s="8">
        <v>46019</v>
      </c>
      <c r="C363" s="14" t="s">
        <v>23</v>
      </c>
      <c r="D363" s="14" t="s">
        <v>36</v>
      </c>
      <c r="E363" s="14" t="s">
        <v>25</v>
      </c>
      <c r="F363" s="14" t="s">
        <v>20</v>
      </c>
      <c r="G363" s="7">
        <v>1</v>
      </c>
      <c r="H363" s="7">
        <v>500</v>
      </c>
      <c r="I363" s="9">
        <v>5</v>
      </c>
      <c r="J363" s="10">
        <f>SALCE[[#This Row],[After_Discount]]*SALCE[[#This Row],[Tax_%]]/100</f>
        <v>0.66500000000000004</v>
      </c>
      <c r="K363" s="11">
        <v>0.14000000000000001</v>
      </c>
      <c r="L363" s="10">
        <f>SALCE[[#This Row],[Quantity]]*SALCE[[#This Row],[Unit_Price]]</f>
        <v>500</v>
      </c>
      <c r="M363" s="10">
        <f>SALCE[[#This Row],[Gross_Sales]]*SALCE[[#This Row],[Discount_%]]/100</f>
        <v>25</v>
      </c>
      <c r="N363" s="10">
        <f>SALCE[[#This Row],[After_Discount]]+SALCE[[#This Row],[Tax_Value]]</f>
        <v>475.66500000000002</v>
      </c>
      <c r="O363" s="10">
        <f>SALCE[[#This Row],[Gross_Sales]]*70%</f>
        <v>350</v>
      </c>
      <c r="P363" s="10">
        <f>SALCE[[#This Row],[Net_Sales]]-SALCE[[#This Row],[Cost_Price]]</f>
        <v>125.66500000000002</v>
      </c>
      <c r="Q363" s="10">
        <f>SALCE[[#This Row],[Gross_Sales]]-SALCE[[#This Row],[Discount_Value]]</f>
        <v>475</v>
      </c>
      <c r="R363" s="15" t="s">
        <v>57</v>
      </c>
      <c r="S363" s="15" t="s">
        <v>26</v>
      </c>
      <c r="T363" s="15" t="s">
        <v>27</v>
      </c>
    </row>
    <row r="364" spans="1:20" s="12" customFormat="1" ht="30" customHeight="1" thickTop="1" thickBot="1" x14ac:dyDescent="0.4">
      <c r="A364" s="7">
        <v>1363</v>
      </c>
      <c r="B364" s="8">
        <v>46020</v>
      </c>
      <c r="C364" s="14" t="s">
        <v>23</v>
      </c>
      <c r="D364" s="14" t="s">
        <v>36</v>
      </c>
      <c r="E364" s="14" t="s">
        <v>31</v>
      </c>
      <c r="F364" s="14" t="s">
        <v>32</v>
      </c>
      <c r="G364" s="7">
        <v>5</v>
      </c>
      <c r="H364" s="7">
        <v>15000</v>
      </c>
      <c r="I364" s="9">
        <v>5</v>
      </c>
      <c r="J364" s="10">
        <f>SALCE[[#This Row],[After_Discount]]*SALCE[[#This Row],[Tax_%]]/100</f>
        <v>99.750000000000014</v>
      </c>
      <c r="K364" s="11">
        <v>0.14000000000000001</v>
      </c>
      <c r="L364" s="10">
        <f>SALCE[[#This Row],[Quantity]]*SALCE[[#This Row],[Unit_Price]]</f>
        <v>75000</v>
      </c>
      <c r="M364" s="10">
        <f>SALCE[[#This Row],[Gross_Sales]]*SALCE[[#This Row],[Discount_%]]/100</f>
        <v>3750</v>
      </c>
      <c r="N364" s="10">
        <f>SALCE[[#This Row],[After_Discount]]+SALCE[[#This Row],[Tax_Value]]</f>
        <v>71349.75</v>
      </c>
      <c r="O364" s="10">
        <f>SALCE[[#This Row],[Gross_Sales]]*70%</f>
        <v>52500</v>
      </c>
      <c r="P364" s="10">
        <f>SALCE[[#This Row],[Net_Sales]]-SALCE[[#This Row],[Cost_Price]]</f>
        <v>18849.75</v>
      </c>
      <c r="Q364" s="10">
        <f>SALCE[[#This Row],[Gross_Sales]]-SALCE[[#This Row],[Discount_Value]]</f>
        <v>71250</v>
      </c>
      <c r="R364" s="15" t="s">
        <v>60</v>
      </c>
      <c r="S364" s="15" t="s">
        <v>26</v>
      </c>
      <c r="T364" s="15" t="s">
        <v>27</v>
      </c>
    </row>
    <row r="365" spans="1:20" s="12" customFormat="1" ht="30" customHeight="1" thickTop="1" thickBot="1" x14ac:dyDescent="0.4">
      <c r="A365" s="7">
        <v>1364</v>
      </c>
      <c r="B365" s="8">
        <v>46021</v>
      </c>
      <c r="C365" s="14" t="s">
        <v>23</v>
      </c>
      <c r="D365" s="14" t="s">
        <v>18</v>
      </c>
      <c r="E365" s="14" t="s">
        <v>25</v>
      </c>
      <c r="F365" s="14" t="s">
        <v>20</v>
      </c>
      <c r="G365" s="7">
        <v>9</v>
      </c>
      <c r="H365" s="7">
        <v>500</v>
      </c>
      <c r="I365" s="9">
        <v>15</v>
      </c>
      <c r="J365" s="10">
        <f>SALCE[[#This Row],[After_Discount]]*SALCE[[#This Row],[Tax_%]]/100</f>
        <v>5.3550000000000004</v>
      </c>
      <c r="K365" s="11">
        <v>0.14000000000000001</v>
      </c>
      <c r="L365" s="10">
        <f>SALCE[[#This Row],[Quantity]]*SALCE[[#This Row],[Unit_Price]]</f>
        <v>4500</v>
      </c>
      <c r="M365" s="10">
        <f>SALCE[[#This Row],[Gross_Sales]]*SALCE[[#This Row],[Discount_%]]/100</f>
        <v>675</v>
      </c>
      <c r="N365" s="10">
        <f>SALCE[[#This Row],[After_Discount]]+SALCE[[#This Row],[Tax_Value]]</f>
        <v>3830.355</v>
      </c>
      <c r="O365" s="10">
        <f>SALCE[[#This Row],[Gross_Sales]]*70%</f>
        <v>3150</v>
      </c>
      <c r="P365" s="10">
        <f>SALCE[[#This Row],[Net_Sales]]-SALCE[[#This Row],[Cost_Price]]</f>
        <v>680.35500000000002</v>
      </c>
      <c r="Q365" s="10">
        <f>SALCE[[#This Row],[Gross_Sales]]-SALCE[[#This Row],[Discount_Value]]</f>
        <v>3825</v>
      </c>
      <c r="R365" s="15" t="s">
        <v>62</v>
      </c>
      <c r="S365" s="15" t="s">
        <v>37</v>
      </c>
      <c r="T365" s="15" t="s">
        <v>22</v>
      </c>
    </row>
    <row r="366" spans="1:20" s="12" customFormat="1" ht="30" customHeight="1" thickTop="1" thickBot="1" x14ac:dyDescent="0.4">
      <c r="A366" s="7">
        <v>1365</v>
      </c>
      <c r="B366" s="8">
        <v>46022</v>
      </c>
      <c r="C366" s="14" t="s">
        <v>35</v>
      </c>
      <c r="D366" s="14" t="s">
        <v>29</v>
      </c>
      <c r="E366" s="14" t="s">
        <v>31</v>
      </c>
      <c r="F366" s="14" t="s">
        <v>32</v>
      </c>
      <c r="G366" s="7">
        <v>10</v>
      </c>
      <c r="H366" s="7">
        <v>15000</v>
      </c>
      <c r="I366" s="9">
        <v>10</v>
      </c>
      <c r="J366" s="10">
        <f>SALCE[[#This Row],[After_Discount]]*SALCE[[#This Row],[Tax_%]]/100</f>
        <v>189</v>
      </c>
      <c r="K366" s="11">
        <v>0.14000000000000001</v>
      </c>
      <c r="L366" s="10">
        <f>SALCE[[#This Row],[Quantity]]*SALCE[[#This Row],[Unit_Price]]</f>
        <v>150000</v>
      </c>
      <c r="M366" s="10">
        <f>SALCE[[#This Row],[Gross_Sales]]*SALCE[[#This Row],[Discount_%]]/100</f>
        <v>15000</v>
      </c>
      <c r="N366" s="10">
        <f>SALCE[[#This Row],[After_Discount]]+SALCE[[#This Row],[Tax_Value]]</f>
        <v>135189</v>
      </c>
      <c r="O366" s="10">
        <f>SALCE[[#This Row],[Gross_Sales]]*70%</f>
        <v>105000</v>
      </c>
      <c r="P366" s="10">
        <f>SALCE[[#This Row],[Net_Sales]]-SALCE[[#This Row],[Cost_Price]]</f>
        <v>30189</v>
      </c>
      <c r="Q366" s="10">
        <f>SALCE[[#This Row],[Gross_Sales]]-SALCE[[#This Row],[Discount_Value]]</f>
        <v>135000</v>
      </c>
      <c r="R366" s="15" t="s">
        <v>47</v>
      </c>
      <c r="S366" s="15" t="s">
        <v>21</v>
      </c>
      <c r="T366" s="15" t="s">
        <v>22</v>
      </c>
    </row>
    <row r="367" spans="1:20" s="12" customFormat="1" ht="30" customHeight="1" thickTop="1" thickBot="1" x14ac:dyDescent="0.4">
      <c r="A367" s="7">
        <v>1366</v>
      </c>
      <c r="B367" s="8">
        <v>45658</v>
      </c>
      <c r="C367" s="14" t="s">
        <v>35</v>
      </c>
      <c r="D367" s="14" t="s">
        <v>41</v>
      </c>
      <c r="E367" s="14" t="s">
        <v>34</v>
      </c>
      <c r="F367" s="14" t="s">
        <v>32</v>
      </c>
      <c r="G367" s="7">
        <v>5</v>
      </c>
      <c r="H367" s="7">
        <v>4000</v>
      </c>
      <c r="I367" s="9">
        <v>15</v>
      </c>
      <c r="J367" s="10">
        <f>SALCE[[#This Row],[After_Discount]]*SALCE[[#This Row],[Tax_%]]/100</f>
        <v>23.8</v>
      </c>
      <c r="K367" s="11">
        <v>0.14000000000000001</v>
      </c>
      <c r="L367" s="10">
        <f>SALCE[[#This Row],[Quantity]]*SALCE[[#This Row],[Unit_Price]]</f>
        <v>20000</v>
      </c>
      <c r="M367" s="10">
        <f>SALCE[[#This Row],[Gross_Sales]]*SALCE[[#This Row],[Discount_%]]/100</f>
        <v>3000</v>
      </c>
      <c r="N367" s="10">
        <f>SALCE[[#This Row],[After_Discount]]+SALCE[[#This Row],[Tax_Value]]</f>
        <v>17023.8</v>
      </c>
      <c r="O367" s="10">
        <f>SALCE[[#This Row],[Gross_Sales]]*70%</f>
        <v>14000</v>
      </c>
      <c r="P367" s="10">
        <f>SALCE[[#This Row],[Net_Sales]]-SALCE[[#This Row],[Cost_Price]]</f>
        <v>3023.7999999999993</v>
      </c>
      <c r="Q367" s="10">
        <f>SALCE[[#This Row],[Gross_Sales]]-SALCE[[#This Row],[Discount_Value]]</f>
        <v>17000</v>
      </c>
      <c r="R367" s="15" t="s">
        <v>50</v>
      </c>
      <c r="S367" s="15" t="s">
        <v>21</v>
      </c>
      <c r="T367" s="15" t="s">
        <v>22</v>
      </c>
    </row>
    <row r="368" spans="1:20" s="12" customFormat="1" ht="30" customHeight="1" thickTop="1" thickBot="1" x14ac:dyDescent="0.4">
      <c r="A368" s="7">
        <v>1367</v>
      </c>
      <c r="B368" s="8">
        <v>45659</v>
      </c>
      <c r="C368" s="14" t="s">
        <v>39</v>
      </c>
      <c r="D368" s="14" t="s">
        <v>24</v>
      </c>
      <c r="E368" s="14" t="s">
        <v>34</v>
      </c>
      <c r="F368" s="14" t="s">
        <v>32</v>
      </c>
      <c r="G368" s="7">
        <v>4</v>
      </c>
      <c r="H368" s="7">
        <v>4000</v>
      </c>
      <c r="I368" s="9">
        <v>5</v>
      </c>
      <c r="J368" s="10">
        <f>SALCE[[#This Row],[After_Discount]]*SALCE[[#This Row],[Tax_%]]/100</f>
        <v>21.28</v>
      </c>
      <c r="K368" s="11">
        <v>0.14000000000000001</v>
      </c>
      <c r="L368" s="10">
        <f>SALCE[[#This Row],[Quantity]]*SALCE[[#This Row],[Unit_Price]]</f>
        <v>16000</v>
      </c>
      <c r="M368" s="10">
        <f>SALCE[[#This Row],[Gross_Sales]]*SALCE[[#This Row],[Discount_%]]/100</f>
        <v>800</v>
      </c>
      <c r="N368" s="10">
        <f>SALCE[[#This Row],[After_Discount]]+SALCE[[#This Row],[Tax_Value]]</f>
        <v>15221.28</v>
      </c>
      <c r="O368" s="10">
        <f>SALCE[[#This Row],[Gross_Sales]]*70%</f>
        <v>11200</v>
      </c>
      <c r="P368" s="10">
        <f>SALCE[[#This Row],[Net_Sales]]-SALCE[[#This Row],[Cost_Price]]</f>
        <v>4021.2800000000007</v>
      </c>
      <c r="Q368" s="10">
        <f>SALCE[[#This Row],[Gross_Sales]]-SALCE[[#This Row],[Discount_Value]]</f>
        <v>15200</v>
      </c>
      <c r="R368" s="15" t="s">
        <v>59</v>
      </c>
      <c r="S368" s="15" t="s">
        <v>21</v>
      </c>
      <c r="T368" s="15" t="s">
        <v>27</v>
      </c>
    </row>
    <row r="369" spans="1:20" s="12" customFormat="1" ht="30" customHeight="1" thickTop="1" thickBot="1" x14ac:dyDescent="0.4">
      <c r="A369" s="7">
        <v>1368</v>
      </c>
      <c r="B369" s="8">
        <v>45660</v>
      </c>
      <c r="C369" s="14" t="s">
        <v>23</v>
      </c>
      <c r="D369" s="14" t="s">
        <v>38</v>
      </c>
      <c r="E369" s="14" t="s">
        <v>40</v>
      </c>
      <c r="F369" s="14" t="s">
        <v>20</v>
      </c>
      <c r="G369" s="7">
        <v>6</v>
      </c>
      <c r="H369" s="7">
        <v>800</v>
      </c>
      <c r="I369" s="9">
        <v>5</v>
      </c>
      <c r="J369" s="10">
        <f>SALCE[[#This Row],[After_Discount]]*SALCE[[#This Row],[Tax_%]]/100</f>
        <v>6.3840000000000012</v>
      </c>
      <c r="K369" s="11">
        <v>0.14000000000000001</v>
      </c>
      <c r="L369" s="10">
        <f>SALCE[[#This Row],[Quantity]]*SALCE[[#This Row],[Unit_Price]]</f>
        <v>4800</v>
      </c>
      <c r="M369" s="10">
        <f>SALCE[[#This Row],[Gross_Sales]]*SALCE[[#This Row],[Discount_%]]/100</f>
        <v>240</v>
      </c>
      <c r="N369" s="10">
        <f>SALCE[[#This Row],[After_Discount]]+SALCE[[#This Row],[Tax_Value]]</f>
        <v>4566.384</v>
      </c>
      <c r="O369" s="10">
        <f>SALCE[[#This Row],[Gross_Sales]]*70%</f>
        <v>3360</v>
      </c>
      <c r="P369" s="10">
        <f>SALCE[[#This Row],[Net_Sales]]-SALCE[[#This Row],[Cost_Price]]</f>
        <v>1206.384</v>
      </c>
      <c r="Q369" s="10">
        <f>SALCE[[#This Row],[Gross_Sales]]-SALCE[[#This Row],[Discount_Value]]</f>
        <v>4560</v>
      </c>
      <c r="R369" s="15" t="s">
        <v>54</v>
      </c>
      <c r="S369" s="15" t="s">
        <v>21</v>
      </c>
      <c r="T369" s="15" t="s">
        <v>27</v>
      </c>
    </row>
    <row r="370" spans="1:20" s="12" customFormat="1" ht="30" customHeight="1" thickTop="1" thickBot="1" x14ac:dyDescent="0.4">
      <c r="A370" s="7">
        <v>1369</v>
      </c>
      <c r="B370" s="8">
        <v>45661</v>
      </c>
      <c r="C370" s="14" t="s">
        <v>28</v>
      </c>
      <c r="D370" s="14" t="s">
        <v>18</v>
      </c>
      <c r="E370" s="14" t="s">
        <v>25</v>
      </c>
      <c r="F370" s="14" t="s">
        <v>20</v>
      </c>
      <c r="G370" s="7">
        <v>4</v>
      </c>
      <c r="H370" s="7">
        <v>500</v>
      </c>
      <c r="I370" s="9">
        <v>10</v>
      </c>
      <c r="J370" s="10">
        <f>SALCE[[#This Row],[After_Discount]]*SALCE[[#This Row],[Tax_%]]/100</f>
        <v>2.5200000000000005</v>
      </c>
      <c r="K370" s="11">
        <v>0.14000000000000001</v>
      </c>
      <c r="L370" s="10">
        <f>SALCE[[#This Row],[Quantity]]*SALCE[[#This Row],[Unit_Price]]</f>
        <v>2000</v>
      </c>
      <c r="M370" s="10">
        <f>SALCE[[#This Row],[Gross_Sales]]*SALCE[[#This Row],[Discount_%]]/100</f>
        <v>200</v>
      </c>
      <c r="N370" s="10">
        <f>SALCE[[#This Row],[After_Discount]]+SALCE[[#This Row],[Tax_Value]]</f>
        <v>1802.52</v>
      </c>
      <c r="O370" s="10">
        <f>SALCE[[#This Row],[Gross_Sales]]*70%</f>
        <v>1400</v>
      </c>
      <c r="P370" s="10">
        <f>SALCE[[#This Row],[Net_Sales]]-SALCE[[#This Row],[Cost_Price]]</f>
        <v>402.52</v>
      </c>
      <c r="Q370" s="10">
        <f>SALCE[[#This Row],[Gross_Sales]]-SALCE[[#This Row],[Discount_Value]]</f>
        <v>1800</v>
      </c>
      <c r="R370" s="15" t="s">
        <v>52</v>
      </c>
      <c r="S370" s="15" t="s">
        <v>26</v>
      </c>
      <c r="T370" s="15" t="s">
        <v>27</v>
      </c>
    </row>
    <row r="371" spans="1:20" s="12" customFormat="1" ht="30" customHeight="1" thickTop="1" thickBot="1" x14ac:dyDescent="0.4">
      <c r="A371" s="7">
        <v>1370</v>
      </c>
      <c r="B371" s="8">
        <v>45662</v>
      </c>
      <c r="C371" s="14" t="s">
        <v>35</v>
      </c>
      <c r="D371" s="14" t="s">
        <v>36</v>
      </c>
      <c r="E371" s="14" t="s">
        <v>33</v>
      </c>
      <c r="F371" s="14" t="s">
        <v>32</v>
      </c>
      <c r="G371" s="7">
        <v>9</v>
      </c>
      <c r="H371" s="7">
        <v>6000</v>
      </c>
      <c r="I371" s="9">
        <v>15</v>
      </c>
      <c r="J371" s="10">
        <f>SALCE[[#This Row],[After_Discount]]*SALCE[[#This Row],[Tax_%]]/100</f>
        <v>64.260000000000005</v>
      </c>
      <c r="K371" s="11">
        <v>0.14000000000000001</v>
      </c>
      <c r="L371" s="10">
        <f>SALCE[[#This Row],[Quantity]]*SALCE[[#This Row],[Unit_Price]]</f>
        <v>54000</v>
      </c>
      <c r="M371" s="10">
        <f>SALCE[[#This Row],[Gross_Sales]]*SALCE[[#This Row],[Discount_%]]/100</f>
        <v>8100</v>
      </c>
      <c r="N371" s="10">
        <f>SALCE[[#This Row],[After_Discount]]+SALCE[[#This Row],[Tax_Value]]</f>
        <v>45964.26</v>
      </c>
      <c r="O371" s="10">
        <f>SALCE[[#This Row],[Gross_Sales]]*70%</f>
        <v>37800</v>
      </c>
      <c r="P371" s="10">
        <f>SALCE[[#This Row],[Net_Sales]]-SALCE[[#This Row],[Cost_Price]]</f>
        <v>8164.260000000002</v>
      </c>
      <c r="Q371" s="10">
        <f>SALCE[[#This Row],[Gross_Sales]]-SALCE[[#This Row],[Discount_Value]]</f>
        <v>45900</v>
      </c>
      <c r="R371" s="15" t="s">
        <v>59</v>
      </c>
      <c r="S371" s="15" t="s">
        <v>26</v>
      </c>
      <c r="T371" s="15" t="s">
        <v>27</v>
      </c>
    </row>
    <row r="372" spans="1:20" s="12" customFormat="1" ht="30" customHeight="1" thickTop="1" thickBot="1" x14ac:dyDescent="0.4">
      <c r="A372" s="7">
        <v>1371</v>
      </c>
      <c r="B372" s="8">
        <v>45663</v>
      </c>
      <c r="C372" s="14" t="s">
        <v>17</v>
      </c>
      <c r="D372" s="14" t="s">
        <v>29</v>
      </c>
      <c r="E372" s="14" t="s">
        <v>34</v>
      </c>
      <c r="F372" s="14" t="s">
        <v>32</v>
      </c>
      <c r="G372" s="7">
        <v>5</v>
      </c>
      <c r="H372" s="7">
        <v>4000</v>
      </c>
      <c r="I372" s="9">
        <v>10</v>
      </c>
      <c r="J372" s="10">
        <f>SALCE[[#This Row],[After_Discount]]*SALCE[[#This Row],[Tax_%]]/100</f>
        <v>25.200000000000003</v>
      </c>
      <c r="K372" s="11">
        <v>0.14000000000000001</v>
      </c>
      <c r="L372" s="10">
        <f>SALCE[[#This Row],[Quantity]]*SALCE[[#This Row],[Unit_Price]]</f>
        <v>20000</v>
      </c>
      <c r="M372" s="10">
        <f>SALCE[[#This Row],[Gross_Sales]]*SALCE[[#This Row],[Discount_%]]/100</f>
        <v>2000</v>
      </c>
      <c r="N372" s="10">
        <f>SALCE[[#This Row],[After_Discount]]+SALCE[[#This Row],[Tax_Value]]</f>
        <v>18025.2</v>
      </c>
      <c r="O372" s="10">
        <f>SALCE[[#This Row],[Gross_Sales]]*70%</f>
        <v>14000</v>
      </c>
      <c r="P372" s="10">
        <f>SALCE[[#This Row],[Net_Sales]]-SALCE[[#This Row],[Cost_Price]]</f>
        <v>4025.2000000000007</v>
      </c>
      <c r="Q372" s="10">
        <f>SALCE[[#This Row],[Gross_Sales]]-SALCE[[#This Row],[Discount_Value]]</f>
        <v>18000</v>
      </c>
      <c r="R372" s="15" t="s">
        <v>58</v>
      </c>
      <c r="S372" s="15" t="s">
        <v>26</v>
      </c>
      <c r="T372" s="15" t="s">
        <v>22</v>
      </c>
    </row>
    <row r="373" spans="1:20" s="12" customFormat="1" ht="30" customHeight="1" thickTop="1" thickBot="1" x14ac:dyDescent="0.4">
      <c r="A373" s="7">
        <v>1372</v>
      </c>
      <c r="B373" s="8">
        <v>45664</v>
      </c>
      <c r="C373" s="14" t="s">
        <v>39</v>
      </c>
      <c r="D373" s="14" t="s">
        <v>41</v>
      </c>
      <c r="E373" s="14" t="s">
        <v>40</v>
      </c>
      <c r="F373" s="14" t="s">
        <v>20</v>
      </c>
      <c r="G373" s="7">
        <v>5</v>
      </c>
      <c r="H373" s="7">
        <v>800</v>
      </c>
      <c r="I373" s="9">
        <v>5</v>
      </c>
      <c r="J373" s="10">
        <f>SALCE[[#This Row],[After_Discount]]*SALCE[[#This Row],[Tax_%]]/100</f>
        <v>5.32</v>
      </c>
      <c r="K373" s="11">
        <v>0.14000000000000001</v>
      </c>
      <c r="L373" s="10">
        <f>SALCE[[#This Row],[Quantity]]*SALCE[[#This Row],[Unit_Price]]</f>
        <v>4000</v>
      </c>
      <c r="M373" s="10">
        <f>SALCE[[#This Row],[Gross_Sales]]*SALCE[[#This Row],[Discount_%]]/100</f>
        <v>200</v>
      </c>
      <c r="N373" s="10">
        <f>SALCE[[#This Row],[After_Discount]]+SALCE[[#This Row],[Tax_Value]]</f>
        <v>3805.32</v>
      </c>
      <c r="O373" s="10">
        <f>SALCE[[#This Row],[Gross_Sales]]*70%</f>
        <v>2800</v>
      </c>
      <c r="P373" s="10">
        <f>SALCE[[#This Row],[Net_Sales]]-SALCE[[#This Row],[Cost_Price]]</f>
        <v>1005.3200000000002</v>
      </c>
      <c r="Q373" s="10">
        <f>SALCE[[#This Row],[Gross_Sales]]-SALCE[[#This Row],[Discount_Value]]</f>
        <v>3800</v>
      </c>
      <c r="R373" s="15" t="s">
        <v>51</v>
      </c>
      <c r="S373" s="15" t="s">
        <v>26</v>
      </c>
      <c r="T373" s="15" t="s">
        <v>27</v>
      </c>
    </row>
    <row r="374" spans="1:20" s="12" customFormat="1" ht="30" customHeight="1" thickTop="1" thickBot="1" x14ac:dyDescent="0.4">
      <c r="A374" s="7">
        <v>1373</v>
      </c>
      <c r="B374" s="8">
        <v>45665</v>
      </c>
      <c r="C374" s="14" t="s">
        <v>30</v>
      </c>
      <c r="D374" s="14" t="s">
        <v>24</v>
      </c>
      <c r="E374" s="14" t="s">
        <v>25</v>
      </c>
      <c r="F374" s="14" t="s">
        <v>20</v>
      </c>
      <c r="G374" s="7">
        <v>6</v>
      </c>
      <c r="H374" s="7">
        <v>500</v>
      </c>
      <c r="I374" s="9">
        <v>10</v>
      </c>
      <c r="J374" s="10">
        <f>SALCE[[#This Row],[After_Discount]]*SALCE[[#This Row],[Tax_%]]/100</f>
        <v>3.7800000000000007</v>
      </c>
      <c r="K374" s="11">
        <v>0.14000000000000001</v>
      </c>
      <c r="L374" s="10">
        <f>SALCE[[#This Row],[Quantity]]*SALCE[[#This Row],[Unit_Price]]</f>
        <v>3000</v>
      </c>
      <c r="M374" s="10">
        <f>SALCE[[#This Row],[Gross_Sales]]*SALCE[[#This Row],[Discount_%]]/100</f>
        <v>300</v>
      </c>
      <c r="N374" s="10">
        <f>SALCE[[#This Row],[After_Discount]]+SALCE[[#This Row],[Tax_Value]]</f>
        <v>2703.78</v>
      </c>
      <c r="O374" s="10">
        <f>SALCE[[#This Row],[Gross_Sales]]*70%</f>
        <v>2100</v>
      </c>
      <c r="P374" s="10">
        <f>SALCE[[#This Row],[Net_Sales]]-SALCE[[#This Row],[Cost_Price]]</f>
        <v>603.7800000000002</v>
      </c>
      <c r="Q374" s="10">
        <f>SALCE[[#This Row],[Gross_Sales]]-SALCE[[#This Row],[Discount_Value]]</f>
        <v>2700</v>
      </c>
      <c r="R374" s="15" t="s">
        <v>49</v>
      </c>
      <c r="S374" s="15" t="s">
        <v>37</v>
      </c>
      <c r="T374" s="15" t="s">
        <v>22</v>
      </c>
    </row>
    <row r="375" spans="1:20" s="12" customFormat="1" ht="30" customHeight="1" thickTop="1" thickBot="1" x14ac:dyDescent="0.4">
      <c r="A375" s="7">
        <v>1374</v>
      </c>
      <c r="B375" s="8">
        <v>45666</v>
      </c>
      <c r="C375" s="14" t="s">
        <v>30</v>
      </c>
      <c r="D375" s="14" t="s">
        <v>29</v>
      </c>
      <c r="E375" s="14" t="s">
        <v>34</v>
      </c>
      <c r="F375" s="14" t="s">
        <v>32</v>
      </c>
      <c r="G375" s="7">
        <v>7</v>
      </c>
      <c r="H375" s="7">
        <v>4000</v>
      </c>
      <c r="I375" s="9">
        <v>0</v>
      </c>
      <c r="J375" s="10">
        <f>SALCE[[#This Row],[After_Discount]]*SALCE[[#This Row],[Tax_%]]/100</f>
        <v>39.200000000000003</v>
      </c>
      <c r="K375" s="11">
        <v>0.14000000000000001</v>
      </c>
      <c r="L375" s="10">
        <f>SALCE[[#This Row],[Quantity]]*SALCE[[#This Row],[Unit_Price]]</f>
        <v>28000</v>
      </c>
      <c r="M375" s="10">
        <f>SALCE[[#This Row],[Gross_Sales]]*SALCE[[#This Row],[Discount_%]]/100</f>
        <v>0</v>
      </c>
      <c r="N375" s="10">
        <f>SALCE[[#This Row],[After_Discount]]+SALCE[[#This Row],[Tax_Value]]</f>
        <v>28039.200000000001</v>
      </c>
      <c r="O375" s="10">
        <f>SALCE[[#This Row],[Gross_Sales]]*70%</f>
        <v>19600</v>
      </c>
      <c r="P375" s="10">
        <f>SALCE[[#This Row],[Net_Sales]]-SALCE[[#This Row],[Cost_Price]]</f>
        <v>8439.2000000000007</v>
      </c>
      <c r="Q375" s="10">
        <f>SALCE[[#This Row],[Gross_Sales]]-SALCE[[#This Row],[Discount_Value]]</f>
        <v>28000</v>
      </c>
      <c r="R375" s="15" t="s">
        <v>58</v>
      </c>
      <c r="S375" s="15" t="s">
        <v>26</v>
      </c>
      <c r="T375" s="15" t="s">
        <v>27</v>
      </c>
    </row>
    <row r="376" spans="1:20" s="12" customFormat="1" ht="30" customHeight="1" thickTop="1" thickBot="1" x14ac:dyDescent="0.4">
      <c r="A376" s="7">
        <v>1375</v>
      </c>
      <c r="B376" s="8">
        <v>45667</v>
      </c>
      <c r="C376" s="14" t="s">
        <v>30</v>
      </c>
      <c r="D376" s="14" t="s">
        <v>18</v>
      </c>
      <c r="E376" s="14" t="s">
        <v>25</v>
      </c>
      <c r="F376" s="14" t="s">
        <v>20</v>
      </c>
      <c r="G376" s="7">
        <v>5</v>
      </c>
      <c r="H376" s="7">
        <v>500</v>
      </c>
      <c r="I376" s="9">
        <v>10</v>
      </c>
      <c r="J376" s="10">
        <f>SALCE[[#This Row],[After_Discount]]*SALCE[[#This Row],[Tax_%]]/100</f>
        <v>3.1500000000000004</v>
      </c>
      <c r="K376" s="11">
        <v>0.14000000000000001</v>
      </c>
      <c r="L376" s="10">
        <f>SALCE[[#This Row],[Quantity]]*SALCE[[#This Row],[Unit_Price]]</f>
        <v>2500</v>
      </c>
      <c r="M376" s="10">
        <f>SALCE[[#This Row],[Gross_Sales]]*SALCE[[#This Row],[Discount_%]]/100</f>
        <v>250</v>
      </c>
      <c r="N376" s="10">
        <f>SALCE[[#This Row],[After_Discount]]+SALCE[[#This Row],[Tax_Value]]</f>
        <v>2253.15</v>
      </c>
      <c r="O376" s="10">
        <f>SALCE[[#This Row],[Gross_Sales]]*70%</f>
        <v>1750</v>
      </c>
      <c r="P376" s="10">
        <f>SALCE[[#This Row],[Net_Sales]]-SALCE[[#This Row],[Cost_Price]]</f>
        <v>503.15000000000009</v>
      </c>
      <c r="Q376" s="10">
        <f>SALCE[[#This Row],[Gross_Sales]]-SALCE[[#This Row],[Discount_Value]]</f>
        <v>2250</v>
      </c>
      <c r="R376" s="15" t="s">
        <v>60</v>
      </c>
      <c r="S376" s="15" t="s">
        <v>21</v>
      </c>
      <c r="T376" s="15" t="s">
        <v>27</v>
      </c>
    </row>
    <row r="377" spans="1:20" s="12" customFormat="1" ht="30" customHeight="1" thickTop="1" thickBot="1" x14ac:dyDescent="0.4">
      <c r="A377" s="7">
        <v>1376</v>
      </c>
      <c r="B377" s="8">
        <v>45668</v>
      </c>
      <c r="C377" s="14" t="s">
        <v>35</v>
      </c>
      <c r="D377" s="14" t="s">
        <v>18</v>
      </c>
      <c r="E377" s="14" t="s">
        <v>33</v>
      </c>
      <c r="F377" s="14" t="s">
        <v>32</v>
      </c>
      <c r="G377" s="7">
        <v>9</v>
      </c>
      <c r="H377" s="7">
        <v>6000</v>
      </c>
      <c r="I377" s="9">
        <v>5</v>
      </c>
      <c r="J377" s="10">
        <f>SALCE[[#This Row],[After_Discount]]*SALCE[[#This Row],[Tax_%]]/100</f>
        <v>71.820000000000007</v>
      </c>
      <c r="K377" s="11">
        <v>0.14000000000000001</v>
      </c>
      <c r="L377" s="10">
        <f>SALCE[[#This Row],[Quantity]]*SALCE[[#This Row],[Unit_Price]]</f>
        <v>54000</v>
      </c>
      <c r="M377" s="10">
        <f>SALCE[[#This Row],[Gross_Sales]]*SALCE[[#This Row],[Discount_%]]/100</f>
        <v>2700</v>
      </c>
      <c r="N377" s="10">
        <f>SALCE[[#This Row],[After_Discount]]+SALCE[[#This Row],[Tax_Value]]</f>
        <v>51371.82</v>
      </c>
      <c r="O377" s="10">
        <f>SALCE[[#This Row],[Gross_Sales]]*70%</f>
        <v>37800</v>
      </c>
      <c r="P377" s="10">
        <f>SALCE[[#This Row],[Net_Sales]]-SALCE[[#This Row],[Cost_Price]]</f>
        <v>13571.82</v>
      </c>
      <c r="Q377" s="10">
        <f>SALCE[[#This Row],[Gross_Sales]]-SALCE[[#This Row],[Discount_Value]]</f>
        <v>51300</v>
      </c>
      <c r="R377" s="15" t="s">
        <v>47</v>
      </c>
      <c r="S377" s="15" t="s">
        <v>21</v>
      </c>
      <c r="T377" s="15" t="s">
        <v>22</v>
      </c>
    </row>
    <row r="378" spans="1:20" s="12" customFormat="1" ht="30" customHeight="1" thickTop="1" thickBot="1" x14ac:dyDescent="0.4">
      <c r="A378" s="7">
        <v>1377</v>
      </c>
      <c r="B378" s="8">
        <v>45669</v>
      </c>
      <c r="C378" s="14" t="s">
        <v>39</v>
      </c>
      <c r="D378" s="14" t="s">
        <v>36</v>
      </c>
      <c r="E378" s="14" t="s">
        <v>34</v>
      </c>
      <c r="F378" s="14" t="s">
        <v>32</v>
      </c>
      <c r="G378" s="7">
        <v>2</v>
      </c>
      <c r="H378" s="7">
        <v>4000</v>
      </c>
      <c r="I378" s="9">
        <v>15</v>
      </c>
      <c r="J378" s="10">
        <f>SALCE[[#This Row],[After_Discount]]*SALCE[[#This Row],[Tax_%]]/100</f>
        <v>9.5200000000000014</v>
      </c>
      <c r="K378" s="11">
        <v>0.14000000000000001</v>
      </c>
      <c r="L378" s="10">
        <f>SALCE[[#This Row],[Quantity]]*SALCE[[#This Row],[Unit_Price]]</f>
        <v>8000</v>
      </c>
      <c r="M378" s="10">
        <f>SALCE[[#This Row],[Gross_Sales]]*SALCE[[#This Row],[Discount_%]]/100</f>
        <v>1200</v>
      </c>
      <c r="N378" s="10">
        <f>SALCE[[#This Row],[After_Discount]]+SALCE[[#This Row],[Tax_Value]]</f>
        <v>6809.52</v>
      </c>
      <c r="O378" s="10">
        <f>SALCE[[#This Row],[Gross_Sales]]*70%</f>
        <v>5600</v>
      </c>
      <c r="P378" s="10">
        <f>SALCE[[#This Row],[Net_Sales]]-SALCE[[#This Row],[Cost_Price]]</f>
        <v>1209.5200000000004</v>
      </c>
      <c r="Q378" s="10">
        <f>SALCE[[#This Row],[Gross_Sales]]-SALCE[[#This Row],[Discount_Value]]</f>
        <v>6800</v>
      </c>
      <c r="R378" s="15" t="s">
        <v>51</v>
      </c>
      <c r="S378" s="15" t="s">
        <v>21</v>
      </c>
      <c r="T378" s="15" t="s">
        <v>22</v>
      </c>
    </row>
    <row r="379" spans="1:20" s="12" customFormat="1" ht="30" customHeight="1" thickTop="1" thickBot="1" x14ac:dyDescent="0.4">
      <c r="A379" s="7">
        <v>1378</v>
      </c>
      <c r="B379" s="8">
        <v>45670</v>
      </c>
      <c r="C379" s="14" t="s">
        <v>35</v>
      </c>
      <c r="D379" s="14" t="s">
        <v>41</v>
      </c>
      <c r="E379" s="14" t="s">
        <v>31</v>
      </c>
      <c r="F379" s="14" t="s">
        <v>32</v>
      </c>
      <c r="G379" s="7">
        <v>1</v>
      </c>
      <c r="H379" s="7">
        <v>15000</v>
      </c>
      <c r="I379" s="9">
        <v>0</v>
      </c>
      <c r="J379" s="10">
        <f>SALCE[[#This Row],[After_Discount]]*SALCE[[#This Row],[Tax_%]]/100</f>
        <v>21</v>
      </c>
      <c r="K379" s="11">
        <v>0.14000000000000001</v>
      </c>
      <c r="L379" s="10">
        <f>SALCE[[#This Row],[Quantity]]*SALCE[[#This Row],[Unit_Price]]</f>
        <v>15000</v>
      </c>
      <c r="M379" s="10">
        <f>SALCE[[#This Row],[Gross_Sales]]*SALCE[[#This Row],[Discount_%]]/100</f>
        <v>0</v>
      </c>
      <c r="N379" s="10">
        <f>SALCE[[#This Row],[After_Discount]]+SALCE[[#This Row],[Tax_Value]]</f>
        <v>15021</v>
      </c>
      <c r="O379" s="10">
        <f>SALCE[[#This Row],[Gross_Sales]]*70%</f>
        <v>10500</v>
      </c>
      <c r="P379" s="10">
        <f>SALCE[[#This Row],[Net_Sales]]-SALCE[[#This Row],[Cost_Price]]</f>
        <v>4521</v>
      </c>
      <c r="Q379" s="10">
        <f>SALCE[[#This Row],[Gross_Sales]]-SALCE[[#This Row],[Discount_Value]]</f>
        <v>15000</v>
      </c>
      <c r="R379" s="15" t="s">
        <v>52</v>
      </c>
      <c r="S379" s="15" t="s">
        <v>37</v>
      </c>
      <c r="T379" s="15" t="s">
        <v>27</v>
      </c>
    </row>
    <row r="380" spans="1:20" s="12" customFormat="1" ht="30" customHeight="1" thickTop="1" thickBot="1" x14ac:dyDescent="0.4">
      <c r="A380" s="7">
        <v>1379</v>
      </c>
      <c r="B380" s="8">
        <v>45671</v>
      </c>
      <c r="C380" s="14" t="s">
        <v>39</v>
      </c>
      <c r="D380" s="14" t="s">
        <v>18</v>
      </c>
      <c r="E380" s="14" t="s">
        <v>19</v>
      </c>
      <c r="F380" s="14" t="s">
        <v>20</v>
      </c>
      <c r="G380" s="7">
        <v>3</v>
      </c>
      <c r="H380" s="7">
        <v>300</v>
      </c>
      <c r="I380" s="9">
        <v>5</v>
      </c>
      <c r="J380" s="10">
        <f>SALCE[[#This Row],[After_Discount]]*SALCE[[#This Row],[Tax_%]]/100</f>
        <v>1.1970000000000001</v>
      </c>
      <c r="K380" s="11">
        <v>0.14000000000000001</v>
      </c>
      <c r="L380" s="10">
        <f>SALCE[[#This Row],[Quantity]]*SALCE[[#This Row],[Unit_Price]]</f>
        <v>900</v>
      </c>
      <c r="M380" s="10">
        <f>SALCE[[#This Row],[Gross_Sales]]*SALCE[[#This Row],[Discount_%]]/100</f>
        <v>45</v>
      </c>
      <c r="N380" s="10">
        <f>SALCE[[#This Row],[After_Discount]]+SALCE[[#This Row],[Tax_Value]]</f>
        <v>856.197</v>
      </c>
      <c r="O380" s="10">
        <f>SALCE[[#This Row],[Gross_Sales]]*70%</f>
        <v>630</v>
      </c>
      <c r="P380" s="10">
        <f>SALCE[[#This Row],[Net_Sales]]-SALCE[[#This Row],[Cost_Price]]</f>
        <v>226.197</v>
      </c>
      <c r="Q380" s="10">
        <f>SALCE[[#This Row],[Gross_Sales]]-SALCE[[#This Row],[Discount_Value]]</f>
        <v>855</v>
      </c>
      <c r="R380" s="15" t="s">
        <v>50</v>
      </c>
      <c r="S380" s="15" t="s">
        <v>26</v>
      </c>
      <c r="T380" s="15" t="s">
        <v>27</v>
      </c>
    </row>
    <row r="381" spans="1:20" s="12" customFormat="1" ht="30" customHeight="1" thickTop="1" thickBot="1" x14ac:dyDescent="0.4">
      <c r="A381" s="7">
        <v>1380</v>
      </c>
      <c r="B381" s="8">
        <v>45672</v>
      </c>
      <c r="C381" s="14" t="s">
        <v>17</v>
      </c>
      <c r="D381" s="14" t="s">
        <v>41</v>
      </c>
      <c r="E381" s="14" t="s">
        <v>25</v>
      </c>
      <c r="F381" s="14" t="s">
        <v>20</v>
      </c>
      <c r="G381" s="7">
        <v>1</v>
      </c>
      <c r="H381" s="7">
        <v>500</v>
      </c>
      <c r="I381" s="9">
        <v>15</v>
      </c>
      <c r="J381" s="10">
        <f>SALCE[[#This Row],[After_Discount]]*SALCE[[#This Row],[Tax_%]]/100</f>
        <v>0.59500000000000008</v>
      </c>
      <c r="K381" s="11">
        <v>0.14000000000000001</v>
      </c>
      <c r="L381" s="10">
        <f>SALCE[[#This Row],[Quantity]]*SALCE[[#This Row],[Unit_Price]]</f>
        <v>500</v>
      </c>
      <c r="M381" s="10">
        <f>SALCE[[#This Row],[Gross_Sales]]*SALCE[[#This Row],[Discount_%]]/100</f>
        <v>75</v>
      </c>
      <c r="N381" s="10">
        <f>SALCE[[#This Row],[After_Discount]]+SALCE[[#This Row],[Tax_Value]]</f>
        <v>425.59500000000003</v>
      </c>
      <c r="O381" s="10">
        <f>SALCE[[#This Row],[Gross_Sales]]*70%</f>
        <v>350</v>
      </c>
      <c r="P381" s="10">
        <f>SALCE[[#This Row],[Net_Sales]]-SALCE[[#This Row],[Cost_Price]]</f>
        <v>75.595000000000027</v>
      </c>
      <c r="Q381" s="10">
        <f>SALCE[[#This Row],[Gross_Sales]]-SALCE[[#This Row],[Discount_Value]]</f>
        <v>425</v>
      </c>
      <c r="R381" s="15" t="s">
        <v>49</v>
      </c>
      <c r="S381" s="15" t="s">
        <v>26</v>
      </c>
      <c r="T381" s="15" t="s">
        <v>27</v>
      </c>
    </row>
    <row r="382" spans="1:20" s="12" customFormat="1" ht="30" customHeight="1" thickTop="1" thickBot="1" x14ac:dyDescent="0.4">
      <c r="A382" s="7">
        <v>1381</v>
      </c>
      <c r="B382" s="8">
        <v>45673</v>
      </c>
      <c r="C382" s="14" t="s">
        <v>23</v>
      </c>
      <c r="D382" s="14" t="s">
        <v>41</v>
      </c>
      <c r="E382" s="14" t="s">
        <v>33</v>
      </c>
      <c r="F382" s="14" t="s">
        <v>32</v>
      </c>
      <c r="G382" s="7">
        <v>4</v>
      </c>
      <c r="H382" s="7">
        <v>6000</v>
      </c>
      <c r="I382" s="9">
        <v>10</v>
      </c>
      <c r="J382" s="10">
        <f>SALCE[[#This Row],[After_Discount]]*SALCE[[#This Row],[Tax_%]]/100</f>
        <v>30.240000000000006</v>
      </c>
      <c r="K382" s="11">
        <v>0.14000000000000001</v>
      </c>
      <c r="L382" s="10">
        <f>SALCE[[#This Row],[Quantity]]*SALCE[[#This Row],[Unit_Price]]</f>
        <v>24000</v>
      </c>
      <c r="M382" s="10">
        <f>SALCE[[#This Row],[Gross_Sales]]*SALCE[[#This Row],[Discount_%]]/100</f>
        <v>2400</v>
      </c>
      <c r="N382" s="10">
        <f>SALCE[[#This Row],[After_Discount]]+SALCE[[#This Row],[Tax_Value]]</f>
        <v>21630.240000000002</v>
      </c>
      <c r="O382" s="10">
        <f>SALCE[[#This Row],[Gross_Sales]]*70%</f>
        <v>16800</v>
      </c>
      <c r="P382" s="10">
        <f>SALCE[[#This Row],[Net_Sales]]-SALCE[[#This Row],[Cost_Price]]</f>
        <v>4830.2400000000016</v>
      </c>
      <c r="Q382" s="10">
        <f>SALCE[[#This Row],[Gross_Sales]]-SALCE[[#This Row],[Discount_Value]]</f>
        <v>21600</v>
      </c>
      <c r="R382" s="15" t="s">
        <v>52</v>
      </c>
      <c r="S382" s="15" t="s">
        <v>26</v>
      </c>
      <c r="T382" s="15" t="s">
        <v>27</v>
      </c>
    </row>
    <row r="383" spans="1:20" s="12" customFormat="1" ht="30" customHeight="1" thickTop="1" thickBot="1" x14ac:dyDescent="0.4">
      <c r="A383" s="7">
        <v>1382</v>
      </c>
      <c r="B383" s="8">
        <v>45674</v>
      </c>
      <c r="C383" s="14" t="s">
        <v>23</v>
      </c>
      <c r="D383" s="14" t="s">
        <v>41</v>
      </c>
      <c r="E383" s="14" t="s">
        <v>33</v>
      </c>
      <c r="F383" s="14" t="s">
        <v>32</v>
      </c>
      <c r="G383" s="7">
        <v>4</v>
      </c>
      <c r="H383" s="7">
        <v>6000</v>
      </c>
      <c r="I383" s="9">
        <v>10</v>
      </c>
      <c r="J383" s="10">
        <f>SALCE[[#This Row],[After_Discount]]*SALCE[[#This Row],[Tax_%]]/100</f>
        <v>30.240000000000006</v>
      </c>
      <c r="K383" s="11">
        <v>0.14000000000000001</v>
      </c>
      <c r="L383" s="10">
        <f>SALCE[[#This Row],[Quantity]]*SALCE[[#This Row],[Unit_Price]]</f>
        <v>24000</v>
      </c>
      <c r="M383" s="10">
        <f>SALCE[[#This Row],[Gross_Sales]]*SALCE[[#This Row],[Discount_%]]/100</f>
        <v>2400</v>
      </c>
      <c r="N383" s="10">
        <f>SALCE[[#This Row],[After_Discount]]+SALCE[[#This Row],[Tax_Value]]</f>
        <v>21630.240000000002</v>
      </c>
      <c r="O383" s="10">
        <f>SALCE[[#This Row],[Gross_Sales]]*70%</f>
        <v>16800</v>
      </c>
      <c r="P383" s="10">
        <f>SALCE[[#This Row],[Net_Sales]]-SALCE[[#This Row],[Cost_Price]]</f>
        <v>4830.2400000000016</v>
      </c>
      <c r="Q383" s="10">
        <f>SALCE[[#This Row],[Gross_Sales]]-SALCE[[#This Row],[Discount_Value]]</f>
        <v>21600</v>
      </c>
      <c r="R383" s="15" t="s">
        <v>47</v>
      </c>
      <c r="S383" s="15" t="s">
        <v>37</v>
      </c>
      <c r="T383" s="15" t="s">
        <v>22</v>
      </c>
    </row>
    <row r="384" spans="1:20" s="12" customFormat="1" ht="30" customHeight="1" thickTop="1" thickBot="1" x14ac:dyDescent="0.4">
      <c r="A384" s="7">
        <v>1383</v>
      </c>
      <c r="B384" s="8">
        <v>45675</v>
      </c>
      <c r="C384" s="14" t="s">
        <v>39</v>
      </c>
      <c r="D384" s="14" t="s">
        <v>29</v>
      </c>
      <c r="E384" s="14" t="s">
        <v>25</v>
      </c>
      <c r="F384" s="14" t="s">
        <v>20</v>
      </c>
      <c r="G384" s="7">
        <v>2</v>
      </c>
      <c r="H384" s="7">
        <v>500</v>
      </c>
      <c r="I384" s="9">
        <v>10</v>
      </c>
      <c r="J384" s="10">
        <f>SALCE[[#This Row],[After_Discount]]*SALCE[[#This Row],[Tax_%]]/100</f>
        <v>1.2600000000000002</v>
      </c>
      <c r="K384" s="11">
        <v>0.14000000000000001</v>
      </c>
      <c r="L384" s="10">
        <f>SALCE[[#This Row],[Quantity]]*SALCE[[#This Row],[Unit_Price]]</f>
        <v>1000</v>
      </c>
      <c r="M384" s="10">
        <f>SALCE[[#This Row],[Gross_Sales]]*SALCE[[#This Row],[Discount_%]]/100</f>
        <v>100</v>
      </c>
      <c r="N384" s="10">
        <f>SALCE[[#This Row],[After_Discount]]+SALCE[[#This Row],[Tax_Value]]</f>
        <v>901.26</v>
      </c>
      <c r="O384" s="10">
        <f>SALCE[[#This Row],[Gross_Sales]]*70%</f>
        <v>700</v>
      </c>
      <c r="P384" s="10">
        <f>SALCE[[#This Row],[Net_Sales]]-SALCE[[#This Row],[Cost_Price]]</f>
        <v>201.26</v>
      </c>
      <c r="Q384" s="10">
        <f>SALCE[[#This Row],[Gross_Sales]]-SALCE[[#This Row],[Discount_Value]]</f>
        <v>900</v>
      </c>
      <c r="R384" s="15" t="s">
        <v>54</v>
      </c>
      <c r="S384" s="15" t="s">
        <v>26</v>
      </c>
      <c r="T384" s="15" t="s">
        <v>22</v>
      </c>
    </row>
    <row r="385" spans="1:20" s="12" customFormat="1" ht="30" customHeight="1" thickTop="1" thickBot="1" x14ac:dyDescent="0.4">
      <c r="A385" s="7">
        <v>1384</v>
      </c>
      <c r="B385" s="8">
        <v>45676</v>
      </c>
      <c r="C385" s="14" t="s">
        <v>39</v>
      </c>
      <c r="D385" s="14" t="s">
        <v>41</v>
      </c>
      <c r="E385" s="14" t="s">
        <v>40</v>
      </c>
      <c r="F385" s="14" t="s">
        <v>20</v>
      </c>
      <c r="G385" s="7">
        <v>9</v>
      </c>
      <c r="H385" s="7">
        <v>800</v>
      </c>
      <c r="I385" s="9">
        <v>15</v>
      </c>
      <c r="J385" s="10">
        <f>SALCE[[#This Row],[After_Discount]]*SALCE[[#This Row],[Tax_%]]/100</f>
        <v>8.5680000000000014</v>
      </c>
      <c r="K385" s="11">
        <v>0.14000000000000001</v>
      </c>
      <c r="L385" s="10">
        <f>SALCE[[#This Row],[Quantity]]*SALCE[[#This Row],[Unit_Price]]</f>
        <v>7200</v>
      </c>
      <c r="M385" s="10">
        <f>SALCE[[#This Row],[Gross_Sales]]*SALCE[[#This Row],[Discount_%]]/100</f>
        <v>1080</v>
      </c>
      <c r="N385" s="10">
        <f>SALCE[[#This Row],[After_Discount]]+SALCE[[#This Row],[Tax_Value]]</f>
        <v>6128.5680000000002</v>
      </c>
      <c r="O385" s="10">
        <f>SALCE[[#This Row],[Gross_Sales]]*70%</f>
        <v>5040</v>
      </c>
      <c r="P385" s="10">
        <f>SALCE[[#This Row],[Net_Sales]]-SALCE[[#This Row],[Cost_Price]]</f>
        <v>1088.5680000000002</v>
      </c>
      <c r="Q385" s="10">
        <f>SALCE[[#This Row],[Gross_Sales]]-SALCE[[#This Row],[Discount_Value]]</f>
        <v>6120</v>
      </c>
      <c r="R385" s="15" t="s">
        <v>56</v>
      </c>
      <c r="S385" s="15" t="s">
        <v>21</v>
      </c>
      <c r="T385" s="15" t="s">
        <v>27</v>
      </c>
    </row>
    <row r="386" spans="1:20" s="12" customFormat="1" ht="30" customHeight="1" thickTop="1" thickBot="1" x14ac:dyDescent="0.4">
      <c r="A386" s="7">
        <v>1385</v>
      </c>
      <c r="B386" s="8">
        <v>45677</v>
      </c>
      <c r="C386" s="14" t="s">
        <v>17</v>
      </c>
      <c r="D386" s="14" t="s">
        <v>24</v>
      </c>
      <c r="E386" s="14" t="s">
        <v>34</v>
      </c>
      <c r="F386" s="14" t="s">
        <v>32</v>
      </c>
      <c r="G386" s="7">
        <v>2</v>
      </c>
      <c r="H386" s="7">
        <v>4000</v>
      </c>
      <c r="I386" s="9">
        <v>0</v>
      </c>
      <c r="J386" s="10">
        <f>SALCE[[#This Row],[After_Discount]]*SALCE[[#This Row],[Tax_%]]/100</f>
        <v>11.2</v>
      </c>
      <c r="K386" s="11">
        <v>0.14000000000000001</v>
      </c>
      <c r="L386" s="10">
        <f>SALCE[[#This Row],[Quantity]]*SALCE[[#This Row],[Unit_Price]]</f>
        <v>8000</v>
      </c>
      <c r="M386" s="10">
        <f>SALCE[[#This Row],[Gross_Sales]]*SALCE[[#This Row],[Discount_%]]/100</f>
        <v>0</v>
      </c>
      <c r="N386" s="10">
        <f>SALCE[[#This Row],[After_Discount]]+SALCE[[#This Row],[Tax_Value]]</f>
        <v>8011.2</v>
      </c>
      <c r="O386" s="10">
        <f>SALCE[[#This Row],[Gross_Sales]]*70%</f>
        <v>5600</v>
      </c>
      <c r="P386" s="10">
        <f>SALCE[[#This Row],[Net_Sales]]-SALCE[[#This Row],[Cost_Price]]</f>
        <v>2411.1999999999998</v>
      </c>
      <c r="Q386" s="10">
        <f>SALCE[[#This Row],[Gross_Sales]]-SALCE[[#This Row],[Discount_Value]]</f>
        <v>8000</v>
      </c>
      <c r="R386" s="15" t="s">
        <v>50</v>
      </c>
      <c r="S386" s="15" t="s">
        <v>37</v>
      </c>
      <c r="T386" s="15" t="s">
        <v>27</v>
      </c>
    </row>
    <row r="387" spans="1:20" s="12" customFormat="1" ht="30" customHeight="1" thickTop="1" thickBot="1" x14ac:dyDescent="0.4">
      <c r="A387" s="7">
        <v>1386</v>
      </c>
      <c r="B387" s="8">
        <v>45678</v>
      </c>
      <c r="C387" s="14" t="s">
        <v>35</v>
      </c>
      <c r="D387" s="14" t="s">
        <v>18</v>
      </c>
      <c r="E387" s="14" t="s">
        <v>33</v>
      </c>
      <c r="F387" s="14" t="s">
        <v>32</v>
      </c>
      <c r="G387" s="7">
        <v>9</v>
      </c>
      <c r="H387" s="7">
        <v>6000</v>
      </c>
      <c r="I387" s="9">
        <v>5</v>
      </c>
      <c r="J387" s="10">
        <f>SALCE[[#This Row],[After_Discount]]*SALCE[[#This Row],[Tax_%]]/100</f>
        <v>71.820000000000007</v>
      </c>
      <c r="K387" s="11">
        <v>0.14000000000000001</v>
      </c>
      <c r="L387" s="10">
        <f>SALCE[[#This Row],[Quantity]]*SALCE[[#This Row],[Unit_Price]]</f>
        <v>54000</v>
      </c>
      <c r="M387" s="10">
        <f>SALCE[[#This Row],[Gross_Sales]]*SALCE[[#This Row],[Discount_%]]/100</f>
        <v>2700</v>
      </c>
      <c r="N387" s="10">
        <f>SALCE[[#This Row],[After_Discount]]+SALCE[[#This Row],[Tax_Value]]</f>
        <v>51371.82</v>
      </c>
      <c r="O387" s="10">
        <f>SALCE[[#This Row],[Gross_Sales]]*70%</f>
        <v>37800</v>
      </c>
      <c r="P387" s="10">
        <f>SALCE[[#This Row],[Net_Sales]]-SALCE[[#This Row],[Cost_Price]]</f>
        <v>13571.82</v>
      </c>
      <c r="Q387" s="10">
        <f>SALCE[[#This Row],[Gross_Sales]]-SALCE[[#This Row],[Discount_Value]]</f>
        <v>51300</v>
      </c>
      <c r="R387" s="15" t="s">
        <v>59</v>
      </c>
      <c r="S387" s="15" t="s">
        <v>26</v>
      </c>
      <c r="T387" s="15" t="s">
        <v>27</v>
      </c>
    </row>
    <row r="388" spans="1:20" s="12" customFormat="1" ht="30" customHeight="1" thickTop="1" thickBot="1" x14ac:dyDescent="0.4">
      <c r="A388" s="7">
        <v>1387</v>
      </c>
      <c r="B388" s="8">
        <v>45679</v>
      </c>
      <c r="C388" s="14" t="s">
        <v>39</v>
      </c>
      <c r="D388" s="14" t="s">
        <v>24</v>
      </c>
      <c r="E388" s="14" t="s">
        <v>40</v>
      </c>
      <c r="F388" s="14" t="s">
        <v>20</v>
      </c>
      <c r="G388" s="7">
        <v>2</v>
      </c>
      <c r="H388" s="7">
        <v>800</v>
      </c>
      <c r="I388" s="9">
        <v>0</v>
      </c>
      <c r="J388" s="10">
        <f>SALCE[[#This Row],[After_Discount]]*SALCE[[#This Row],[Tax_%]]/100</f>
        <v>2.2400000000000002</v>
      </c>
      <c r="K388" s="11">
        <v>0.14000000000000001</v>
      </c>
      <c r="L388" s="10">
        <f>SALCE[[#This Row],[Quantity]]*SALCE[[#This Row],[Unit_Price]]</f>
        <v>1600</v>
      </c>
      <c r="M388" s="10">
        <f>SALCE[[#This Row],[Gross_Sales]]*SALCE[[#This Row],[Discount_%]]/100</f>
        <v>0</v>
      </c>
      <c r="N388" s="10">
        <f>SALCE[[#This Row],[After_Discount]]+SALCE[[#This Row],[Tax_Value]]</f>
        <v>1602.24</v>
      </c>
      <c r="O388" s="10">
        <f>SALCE[[#This Row],[Gross_Sales]]*70%</f>
        <v>1120</v>
      </c>
      <c r="P388" s="10">
        <f>SALCE[[#This Row],[Net_Sales]]-SALCE[[#This Row],[Cost_Price]]</f>
        <v>482.24</v>
      </c>
      <c r="Q388" s="10">
        <f>SALCE[[#This Row],[Gross_Sales]]-SALCE[[#This Row],[Discount_Value]]</f>
        <v>1600</v>
      </c>
      <c r="R388" s="15" t="s">
        <v>51</v>
      </c>
      <c r="S388" s="15" t="s">
        <v>26</v>
      </c>
      <c r="T388" s="15" t="s">
        <v>27</v>
      </c>
    </row>
    <row r="389" spans="1:20" s="12" customFormat="1" ht="30" customHeight="1" thickTop="1" thickBot="1" x14ac:dyDescent="0.4">
      <c r="A389" s="7">
        <v>1388</v>
      </c>
      <c r="B389" s="8">
        <v>45680</v>
      </c>
      <c r="C389" s="14" t="s">
        <v>35</v>
      </c>
      <c r="D389" s="14" t="s">
        <v>29</v>
      </c>
      <c r="E389" s="14" t="s">
        <v>25</v>
      </c>
      <c r="F389" s="14" t="s">
        <v>20</v>
      </c>
      <c r="G389" s="7">
        <v>7</v>
      </c>
      <c r="H389" s="7">
        <v>500</v>
      </c>
      <c r="I389" s="9">
        <v>10</v>
      </c>
      <c r="J389" s="10">
        <f>SALCE[[#This Row],[After_Discount]]*SALCE[[#This Row],[Tax_%]]/100</f>
        <v>4.41</v>
      </c>
      <c r="K389" s="11">
        <v>0.14000000000000001</v>
      </c>
      <c r="L389" s="10">
        <f>SALCE[[#This Row],[Quantity]]*SALCE[[#This Row],[Unit_Price]]</f>
        <v>3500</v>
      </c>
      <c r="M389" s="10">
        <f>SALCE[[#This Row],[Gross_Sales]]*SALCE[[#This Row],[Discount_%]]/100</f>
        <v>350</v>
      </c>
      <c r="N389" s="10">
        <f>SALCE[[#This Row],[After_Discount]]+SALCE[[#This Row],[Tax_Value]]</f>
        <v>3154.41</v>
      </c>
      <c r="O389" s="10">
        <f>SALCE[[#This Row],[Gross_Sales]]*70%</f>
        <v>2450</v>
      </c>
      <c r="P389" s="10">
        <f>SALCE[[#This Row],[Net_Sales]]-SALCE[[#This Row],[Cost_Price]]</f>
        <v>704.40999999999985</v>
      </c>
      <c r="Q389" s="10">
        <f>SALCE[[#This Row],[Gross_Sales]]-SALCE[[#This Row],[Discount_Value]]</f>
        <v>3150</v>
      </c>
      <c r="R389" s="15" t="s">
        <v>62</v>
      </c>
      <c r="S389" s="15" t="s">
        <v>37</v>
      </c>
      <c r="T389" s="15" t="s">
        <v>27</v>
      </c>
    </row>
    <row r="390" spans="1:20" s="12" customFormat="1" ht="30" customHeight="1" thickTop="1" thickBot="1" x14ac:dyDescent="0.4">
      <c r="A390" s="7">
        <v>1389</v>
      </c>
      <c r="B390" s="8">
        <v>45681</v>
      </c>
      <c r="C390" s="14" t="s">
        <v>23</v>
      </c>
      <c r="D390" s="14" t="s">
        <v>29</v>
      </c>
      <c r="E390" s="14" t="s">
        <v>34</v>
      </c>
      <c r="F390" s="14" t="s">
        <v>32</v>
      </c>
      <c r="G390" s="7">
        <v>8</v>
      </c>
      <c r="H390" s="7">
        <v>4000</v>
      </c>
      <c r="I390" s="9">
        <v>15</v>
      </c>
      <c r="J390" s="10">
        <f>SALCE[[#This Row],[After_Discount]]*SALCE[[#This Row],[Tax_%]]/100</f>
        <v>38.080000000000005</v>
      </c>
      <c r="K390" s="11">
        <v>0.14000000000000001</v>
      </c>
      <c r="L390" s="10">
        <f>SALCE[[#This Row],[Quantity]]*SALCE[[#This Row],[Unit_Price]]</f>
        <v>32000</v>
      </c>
      <c r="M390" s="10">
        <f>SALCE[[#This Row],[Gross_Sales]]*SALCE[[#This Row],[Discount_%]]/100</f>
        <v>4800</v>
      </c>
      <c r="N390" s="10">
        <f>SALCE[[#This Row],[After_Discount]]+SALCE[[#This Row],[Tax_Value]]</f>
        <v>27238.080000000002</v>
      </c>
      <c r="O390" s="10">
        <f>SALCE[[#This Row],[Gross_Sales]]*70%</f>
        <v>22400</v>
      </c>
      <c r="P390" s="10">
        <f>SALCE[[#This Row],[Net_Sales]]-SALCE[[#This Row],[Cost_Price]]</f>
        <v>4838.0800000000017</v>
      </c>
      <c r="Q390" s="10">
        <f>SALCE[[#This Row],[Gross_Sales]]-SALCE[[#This Row],[Discount_Value]]</f>
        <v>27200</v>
      </c>
      <c r="R390" s="15" t="s">
        <v>58</v>
      </c>
      <c r="S390" s="15" t="s">
        <v>37</v>
      </c>
      <c r="T390" s="15" t="s">
        <v>22</v>
      </c>
    </row>
    <row r="391" spans="1:20" s="12" customFormat="1" ht="30" customHeight="1" thickTop="1" thickBot="1" x14ac:dyDescent="0.4">
      <c r="A391" s="7">
        <v>1390</v>
      </c>
      <c r="B391" s="8">
        <v>45682</v>
      </c>
      <c r="C391" s="14" t="s">
        <v>30</v>
      </c>
      <c r="D391" s="14" t="s">
        <v>41</v>
      </c>
      <c r="E391" s="14" t="s">
        <v>25</v>
      </c>
      <c r="F391" s="14" t="s">
        <v>20</v>
      </c>
      <c r="G391" s="7">
        <v>7</v>
      </c>
      <c r="H391" s="7">
        <v>500</v>
      </c>
      <c r="I391" s="9">
        <v>10</v>
      </c>
      <c r="J391" s="10">
        <f>SALCE[[#This Row],[After_Discount]]*SALCE[[#This Row],[Tax_%]]/100</f>
        <v>4.41</v>
      </c>
      <c r="K391" s="11">
        <v>0.14000000000000001</v>
      </c>
      <c r="L391" s="10">
        <f>SALCE[[#This Row],[Quantity]]*SALCE[[#This Row],[Unit_Price]]</f>
        <v>3500</v>
      </c>
      <c r="M391" s="10">
        <f>SALCE[[#This Row],[Gross_Sales]]*SALCE[[#This Row],[Discount_%]]/100</f>
        <v>350</v>
      </c>
      <c r="N391" s="10">
        <f>SALCE[[#This Row],[After_Discount]]+SALCE[[#This Row],[Tax_Value]]</f>
        <v>3154.41</v>
      </c>
      <c r="O391" s="10">
        <f>SALCE[[#This Row],[Gross_Sales]]*70%</f>
        <v>2450</v>
      </c>
      <c r="P391" s="10">
        <f>SALCE[[#This Row],[Net_Sales]]-SALCE[[#This Row],[Cost_Price]]</f>
        <v>704.40999999999985</v>
      </c>
      <c r="Q391" s="10">
        <f>SALCE[[#This Row],[Gross_Sales]]-SALCE[[#This Row],[Discount_Value]]</f>
        <v>3150</v>
      </c>
      <c r="R391" s="15" t="s">
        <v>59</v>
      </c>
      <c r="S391" s="15" t="s">
        <v>37</v>
      </c>
      <c r="T391" s="15" t="s">
        <v>22</v>
      </c>
    </row>
    <row r="392" spans="1:20" s="12" customFormat="1" ht="30" customHeight="1" thickTop="1" thickBot="1" x14ac:dyDescent="0.4">
      <c r="A392" s="7">
        <v>1391</v>
      </c>
      <c r="B392" s="8">
        <v>45683</v>
      </c>
      <c r="C392" s="14" t="s">
        <v>17</v>
      </c>
      <c r="D392" s="14" t="s">
        <v>36</v>
      </c>
      <c r="E392" s="14" t="s">
        <v>40</v>
      </c>
      <c r="F392" s="14" t="s">
        <v>20</v>
      </c>
      <c r="G392" s="7">
        <v>5</v>
      </c>
      <c r="H392" s="7">
        <v>800</v>
      </c>
      <c r="I392" s="9">
        <v>5</v>
      </c>
      <c r="J392" s="10">
        <f>SALCE[[#This Row],[After_Discount]]*SALCE[[#This Row],[Tax_%]]/100</f>
        <v>5.32</v>
      </c>
      <c r="K392" s="11">
        <v>0.14000000000000001</v>
      </c>
      <c r="L392" s="10">
        <f>SALCE[[#This Row],[Quantity]]*SALCE[[#This Row],[Unit_Price]]</f>
        <v>4000</v>
      </c>
      <c r="M392" s="10">
        <f>SALCE[[#This Row],[Gross_Sales]]*SALCE[[#This Row],[Discount_%]]/100</f>
        <v>200</v>
      </c>
      <c r="N392" s="10">
        <f>SALCE[[#This Row],[After_Discount]]+SALCE[[#This Row],[Tax_Value]]</f>
        <v>3805.32</v>
      </c>
      <c r="O392" s="10">
        <f>SALCE[[#This Row],[Gross_Sales]]*70%</f>
        <v>2800</v>
      </c>
      <c r="P392" s="10">
        <f>SALCE[[#This Row],[Net_Sales]]-SALCE[[#This Row],[Cost_Price]]</f>
        <v>1005.3200000000002</v>
      </c>
      <c r="Q392" s="10">
        <f>SALCE[[#This Row],[Gross_Sales]]-SALCE[[#This Row],[Discount_Value]]</f>
        <v>3800</v>
      </c>
      <c r="R392" s="15" t="s">
        <v>56</v>
      </c>
      <c r="S392" s="15" t="s">
        <v>26</v>
      </c>
      <c r="T392" s="15" t="s">
        <v>22</v>
      </c>
    </row>
    <row r="393" spans="1:20" s="12" customFormat="1" ht="30" customHeight="1" thickTop="1" thickBot="1" x14ac:dyDescent="0.4">
      <c r="A393" s="7">
        <v>1392</v>
      </c>
      <c r="B393" s="8">
        <v>45684</v>
      </c>
      <c r="C393" s="14" t="s">
        <v>39</v>
      </c>
      <c r="D393" s="14" t="s">
        <v>38</v>
      </c>
      <c r="E393" s="14" t="s">
        <v>19</v>
      </c>
      <c r="F393" s="14" t="s">
        <v>20</v>
      </c>
      <c r="G393" s="7">
        <v>5</v>
      </c>
      <c r="H393" s="7">
        <v>300</v>
      </c>
      <c r="I393" s="9">
        <v>5</v>
      </c>
      <c r="J393" s="10">
        <f>SALCE[[#This Row],[After_Discount]]*SALCE[[#This Row],[Tax_%]]/100</f>
        <v>1.9950000000000003</v>
      </c>
      <c r="K393" s="11">
        <v>0.14000000000000001</v>
      </c>
      <c r="L393" s="10">
        <f>SALCE[[#This Row],[Quantity]]*SALCE[[#This Row],[Unit_Price]]</f>
        <v>1500</v>
      </c>
      <c r="M393" s="10">
        <f>SALCE[[#This Row],[Gross_Sales]]*SALCE[[#This Row],[Discount_%]]/100</f>
        <v>75</v>
      </c>
      <c r="N393" s="10">
        <f>SALCE[[#This Row],[After_Discount]]+SALCE[[#This Row],[Tax_Value]]</f>
        <v>1426.9949999999999</v>
      </c>
      <c r="O393" s="10">
        <f>SALCE[[#This Row],[Gross_Sales]]*70%</f>
        <v>1050</v>
      </c>
      <c r="P393" s="10">
        <f>SALCE[[#This Row],[Net_Sales]]-SALCE[[#This Row],[Cost_Price]]</f>
        <v>376.99499999999989</v>
      </c>
      <c r="Q393" s="10">
        <f>SALCE[[#This Row],[Gross_Sales]]-SALCE[[#This Row],[Discount_Value]]</f>
        <v>1425</v>
      </c>
      <c r="R393" s="15" t="s">
        <v>49</v>
      </c>
      <c r="S393" s="15" t="s">
        <v>21</v>
      </c>
      <c r="T393" s="15" t="s">
        <v>27</v>
      </c>
    </row>
    <row r="394" spans="1:20" s="12" customFormat="1" ht="30" customHeight="1" thickTop="1" thickBot="1" x14ac:dyDescent="0.4">
      <c r="A394" s="7">
        <v>1393</v>
      </c>
      <c r="B394" s="8">
        <v>45685</v>
      </c>
      <c r="C394" s="14" t="s">
        <v>17</v>
      </c>
      <c r="D394" s="14" t="s">
        <v>18</v>
      </c>
      <c r="E394" s="14" t="s">
        <v>40</v>
      </c>
      <c r="F394" s="14" t="s">
        <v>20</v>
      </c>
      <c r="G394" s="7">
        <v>5</v>
      </c>
      <c r="H394" s="7">
        <v>800</v>
      </c>
      <c r="I394" s="9">
        <v>15</v>
      </c>
      <c r="J394" s="10">
        <f>SALCE[[#This Row],[After_Discount]]*SALCE[[#This Row],[Tax_%]]/100</f>
        <v>4.7600000000000007</v>
      </c>
      <c r="K394" s="11">
        <v>0.14000000000000001</v>
      </c>
      <c r="L394" s="10">
        <f>SALCE[[#This Row],[Quantity]]*SALCE[[#This Row],[Unit_Price]]</f>
        <v>4000</v>
      </c>
      <c r="M394" s="10">
        <f>SALCE[[#This Row],[Gross_Sales]]*SALCE[[#This Row],[Discount_%]]/100</f>
        <v>600</v>
      </c>
      <c r="N394" s="10">
        <f>SALCE[[#This Row],[After_Discount]]+SALCE[[#This Row],[Tax_Value]]</f>
        <v>3404.76</v>
      </c>
      <c r="O394" s="10">
        <f>SALCE[[#This Row],[Gross_Sales]]*70%</f>
        <v>2800</v>
      </c>
      <c r="P394" s="10">
        <f>SALCE[[#This Row],[Net_Sales]]-SALCE[[#This Row],[Cost_Price]]</f>
        <v>604.76000000000022</v>
      </c>
      <c r="Q394" s="10">
        <f>SALCE[[#This Row],[Gross_Sales]]-SALCE[[#This Row],[Discount_Value]]</f>
        <v>3400</v>
      </c>
      <c r="R394" s="15" t="s">
        <v>49</v>
      </c>
      <c r="S394" s="15" t="s">
        <v>26</v>
      </c>
      <c r="T394" s="15" t="s">
        <v>22</v>
      </c>
    </row>
    <row r="395" spans="1:20" s="12" customFormat="1" ht="30" customHeight="1" thickTop="1" thickBot="1" x14ac:dyDescent="0.4">
      <c r="A395" s="7">
        <v>1394</v>
      </c>
      <c r="B395" s="8">
        <v>45686</v>
      </c>
      <c r="C395" s="14" t="s">
        <v>17</v>
      </c>
      <c r="D395" s="14" t="s">
        <v>24</v>
      </c>
      <c r="E395" s="14" t="s">
        <v>19</v>
      </c>
      <c r="F395" s="14" t="s">
        <v>20</v>
      </c>
      <c r="G395" s="7">
        <v>6</v>
      </c>
      <c r="H395" s="7">
        <v>300</v>
      </c>
      <c r="I395" s="9">
        <v>0</v>
      </c>
      <c r="J395" s="10">
        <f>SALCE[[#This Row],[After_Discount]]*SALCE[[#This Row],[Tax_%]]/100</f>
        <v>2.5200000000000005</v>
      </c>
      <c r="K395" s="11">
        <v>0.14000000000000001</v>
      </c>
      <c r="L395" s="10">
        <f>SALCE[[#This Row],[Quantity]]*SALCE[[#This Row],[Unit_Price]]</f>
        <v>1800</v>
      </c>
      <c r="M395" s="10">
        <f>SALCE[[#This Row],[Gross_Sales]]*SALCE[[#This Row],[Discount_%]]/100</f>
        <v>0</v>
      </c>
      <c r="N395" s="10">
        <f>SALCE[[#This Row],[After_Discount]]+SALCE[[#This Row],[Tax_Value]]</f>
        <v>1802.52</v>
      </c>
      <c r="O395" s="10">
        <f>SALCE[[#This Row],[Gross_Sales]]*70%</f>
        <v>1260</v>
      </c>
      <c r="P395" s="10">
        <f>SALCE[[#This Row],[Net_Sales]]-SALCE[[#This Row],[Cost_Price]]</f>
        <v>542.52</v>
      </c>
      <c r="Q395" s="10">
        <f>SALCE[[#This Row],[Gross_Sales]]-SALCE[[#This Row],[Discount_Value]]</f>
        <v>1800</v>
      </c>
      <c r="R395" s="15" t="s">
        <v>59</v>
      </c>
      <c r="S395" s="15" t="s">
        <v>37</v>
      </c>
      <c r="T395" s="15" t="s">
        <v>22</v>
      </c>
    </row>
    <row r="396" spans="1:20" s="12" customFormat="1" ht="30" customHeight="1" thickTop="1" thickBot="1" x14ac:dyDescent="0.4">
      <c r="A396" s="7">
        <v>1395</v>
      </c>
      <c r="B396" s="8">
        <v>45687</v>
      </c>
      <c r="C396" s="14" t="s">
        <v>17</v>
      </c>
      <c r="D396" s="14" t="s">
        <v>41</v>
      </c>
      <c r="E396" s="14" t="s">
        <v>33</v>
      </c>
      <c r="F396" s="14" t="s">
        <v>32</v>
      </c>
      <c r="G396" s="7">
        <v>6</v>
      </c>
      <c r="H396" s="7">
        <v>6000</v>
      </c>
      <c r="I396" s="9">
        <v>10</v>
      </c>
      <c r="J396" s="10">
        <f>SALCE[[#This Row],[After_Discount]]*SALCE[[#This Row],[Tax_%]]/100</f>
        <v>45.36</v>
      </c>
      <c r="K396" s="11">
        <v>0.14000000000000001</v>
      </c>
      <c r="L396" s="10">
        <f>SALCE[[#This Row],[Quantity]]*SALCE[[#This Row],[Unit_Price]]</f>
        <v>36000</v>
      </c>
      <c r="M396" s="10">
        <f>SALCE[[#This Row],[Gross_Sales]]*SALCE[[#This Row],[Discount_%]]/100</f>
        <v>3600</v>
      </c>
      <c r="N396" s="10">
        <f>SALCE[[#This Row],[After_Discount]]+SALCE[[#This Row],[Tax_Value]]</f>
        <v>32445.360000000001</v>
      </c>
      <c r="O396" s="10">
        <f>SALCE[[#This Row],[Gross_Sales]]*70%</f>
        <v>25200</v>
      </c>
      <c r="P396" s="10">
        <f>SALCE[[#This Row],[Net_Sales]]-SALCE[[#This Row],[Cost_Price]]</f>
        <v>7245.3600000000006</v>
      </c>
      <c r="Q396" s="10">
        <f>SALCE[[#This Row],[Gross_Sales]]-SALCE[[#This Row],[Discount_Value]]</f>
        <v>32400</v>
      </c>
      <c r="R396" s="15" t="s">
        <v>58</v>
      </c>
      <c r="S396" s="15" t="s">
        <v>21</v>
      </c>
      <c r="T396" s="15" t="s">
        <v>22</v>
      </c>
    </row>
    <row r="397" spans="1:20" s="12" customFormat="1" ht="30" customHeight="1" thickTop="1" thickBot="1" x14ac:dyDescent="0.4">
      <c r="A397" s="7">
        <v>1396</v>
      </c>
      <c r="B397" s="8">
        <v>45688</v>
      </c>
      <c r="C397" s="14" t="s">
        <v>30</v>
      </c>
      <c r="D397" s="14" t="s">
        <v>29</v>
      </c>
      <c r="E397" s="14" t="s">
        <v>25</v>
      </c>
      <c r="F397" s="14" t="s">
        <v>20</v>
      </c>
      <c r="G397" s="7">
        <v>10</v>
      </c>
      <c r="H397" s="7">
        <v>500</v>
      </c>
      <c r="I397" s="9">
        <v>0</v>
      </c>
      <c r="J397" s="10">
        <f>SALCE[[#This Row],[After_Discount]]*SALCE[[#This Row],[Tax_%]]/100</f>
        <v>7.0000000000000009</v>
      </c>
      <c r="K397" s="11">
        <v>0.14000000000000001</v>
      </c>
      <c r="L397" s="10">
        <f>SALCE[[#This Row],[Quantity]]*SALCE[[#This Row],[Unit_Price]]</f>
        <v>5000</v>
      </c>
      <c r="M397" s="10">
        <f>SALCE[[#This Row],[Gross_Sales]]*SALCE[[#This Row],[Discount_%]]/100</f>
        <v>0</v>
      </c>
      <c r="N397" s="10">
        <f>SALCE[[#This Row],[After_Discount]]+SALCE[[#This Row],[Tax_Value]]</f>
        <v>5007</v>
      </c>
      <c r="O397" s="10">
        <f>SALCE[[#This Row],[Gross_Sales]]*70%</f>
        <v>3500</v>
      </c>
      <c r="P397" s="10">
        <f>SALCE[[#This Row],[Net_Sales]]-SALCE[[#This Row],[Cost_Price]]</f>
        <v>1507</v>
      </c>
      <c r="Q397" s="10">
        <f>SALCE[[#This Row],[Gross_Sales]]-SALCE[[#This Row],[Discount_Value]]</f>
        <v>5000</v>
      </c>
      <c r="R397" s="15" t="s">
        <v>56</v>
      </c>
      <c r="S397" s="15" t="s">
        <v>21</v>
      </c>
      <c r="T397" s="15" t="s">
        <v>27</v>
      </c>
    </row>
    <row r="398" spans="1:20" s="12" customFormat="1" ht="30" customHeight="1" thickTop="1" thickBot="1" x14ac:dyDescent="0.4">
      <c r="A398" s="7">
        <v>1397</v>
      </c>
      <c r="B398" s="8">
        <v>45689</v>
      </c>
      <c r="C398" s="14" t="s">
        <v>28</v>
      </c>
      <c r="D398" s="14" t="s">
        <v>36</v>
      </c>
      <c r="E398" s="14" t="s">
        <v>33</v>
      </c>
      <c r="F398" s="14" t="s">
        <v>32</v>
      </c>
      <c r="G398" s="7">
        <v>2</v>
      </c>
      <c r="H398" s="7">
        <v>6000</v>
      </c>
      <c r="I398" s="9">
        <v>15</v>
      </c>
      <c r="J398" s="10">
        <f>SALCE[[#This Row],[After_Discount]]*SALCE[[#This Row],[Tax_%]]/100</f>
        <v>14.280000000000003</v>
      </c>
      <c r="K398" s="11">
        <v>0.14000000000000001</v>
      </c>
      <c r="L398" s="10">
        <f>SALCE[[#This Row],[Quantity]]*SALCE[[#This Row],[Unit_Price]]</f>
        <v>12000</v>
      </c>
      <c r="M398" s="10">
        <f>SALCE[[#This Row],[Gross_Sales]]*SALCE[[#This Row],[Discount_%]]/100</f>
        <v>1800</v>
      </c>
      <c r="N398" s="10">
        <f>SALCE[[#This Row],[After_Discount]]+SALCE[[#This Row],[Tax_Value]]</f>
        <v>10214.280000000001</v>
      </c>
      <c r="O398" s="10">
        <f>SALCE[[#This Row],[Gross_Sales]]*70%</f>
        <v>8400</v>
      </c>
      <c r="P398" s="10">
        <f>SALCE[[#This Row],[Net_Sales]]-SALCE[[#This Row],[Cost_Price]]</f>
        <v>1814.2800000000007</v>
      </c>
      <c r="Q398" s="10">
        <f>SALCE[[#This Row],[Gross_Sales]]-SALCE[[#This Row],[Discount_Value]]</f>
        <v>10200</v>
      </c>
      <c r="R398" s="15" t="s">
        <v>54</v>
      </c>
      <c r="S398" s="15" t="s">
        <v>26</v>
      </c>
      <c r="T398" s="15" t="s">
        <v>22</v>
      </c>
    </row>
    <row r="399" spans="1:20" s="12" customFormat="1" ht="30" customHeight="1" thickTop="1" thickBot="1" x14ac:dyDescent="0.4">
      <c r="A399" s="7">
        <v>1398</v>
      </c>
      <c r="B399" s="8">
        <v>45690</v>
      </c>
      <c r="C399" s="14" t="s">
        <v>39</v>
      </c>
      <c r="D399" s="14" t="s">
        <v>29</v>
      </c>
      <c r="E399" s="14" t="s">
        <v>31</v>
      </c>
      <c r="F399" s="14" t="s">
        <v>32</v>
      </c>
      <c r="G399" s="7">
        <v>4</v>
      </c>
      <c r="H399" s="7">
        <v>15000</v>
      </c>
      <c r="I399" s="9">
        <v>10</v>
      </c>
      <c r="J399" s="10">
        <f>SALCE[[#This Row],[After_Discount]]*SALCE[[#This Row],[Tax_%]]/100</f>
        <v>75.600000000000009</v>
      </c>
      <c r="K399" s="11">
        <v>0.14000000000000001</v>
      </c>
      <c r="L399" s="10">
        <f>SALCE[[#This Row],[Quantity]]*SALCE[[#This Row],[Unit_Price]]</f>
        <v>60000</v>
      </c>
      <c r="M399" s="10">
        <f>SALCE[[#This Row],[Gross_Sales]]*SALCE[[#This Row],[Discount_%]]/100</f>
        <v>6000</v>
      </c>
      <c r="N399" s="10">
        <f>SALCE[[#This Row],[After_Discount]]+SALCE[[#This Row],[Tax_Value]]</f>
        <v>54075.6</v>
      </c>
      <c r="O399" s="10">
        <f>SALCE[[#This Row],[Gross_Sales]]*70%</f>
        <v>42000</v>
      </c>
      <c r="P399" s="10">
        <f>SALCE[[#This Row],[Net_Sales]]-SALCE[[#This Row],[Cost_Price]]</f>
        <v>12075.599999999999</v>
      </c>
      <c r="Q399" s="10">
        <f>SALCE[[#This Row],[Gross_Sales]]-SALCE[[#This Row],[Discount_Value]]</f>
        <v>54000</v>
      </c>
      <c r="R399" s="15" t="s">
        <v>62</v>
      </c>
      <c r="S399" s="15" t="s">
        <v>37</v>
      </c>
      <c r="T399" s="15" t="s">
        <v>22</v>
      </c>
    </row>
    <row r="400" spans="1:20" s="12" customFormat="1" ht="30" customHeight="1" thickTop="1" thickBot="1" x14ac:dyDescent="0.4">
      <c r="A400" s="7">
        <v>1399</v>
      </c>
      <c r="B400" s="8">
        <v>45691</v>
      </c>
      <c r="C400" s="14" t="s">
        <v>35</v>
      </c>
      <c r="D400" s="14" t="s">
        <v>36</v>
      </c>
      <c r="E400" s="14" t="s">
        <v>31</v>
      </c>
      <c r="F400" s="14" t="s">
        <v>32</v>
      </c>
      <c r="G400" s="7">
        <v>5</v>
      </c>
      <c r="H400" s="7">
        <v>15000</v>
      </c>
      <c r="I400" s="9">
        <v>0</v>
      </c>
      <c r="J400" s="10">
        <f>SALCE[[#This Row],[After_Discount]]*SALCE[[#This Row],[Tax_%]]/100</f>
        <v>105.00000000000001</v>
      </c>
      <c r="K400" s="11">
        <v>0.14000000000000001</v>
      </c>
      <c r="L400" s="10">
        <f>SALCE[[#This Row],[Quantity]]*SALCE[[#This Row],[Unit_Price]]</f>
        <v>75000</v>
      </c>
      <c r="M400" s="10">
        <f>SALCE[[#This Row],[Gross_Sales]]*SALCE[[#This Row],[Discount_%]]/100</f>
        <v>0</v>
      </c>
      <c r="N400" s="10">
        <f>SALCE[[#This Row],[After_Discount]]+SALCE[[#This Row],[Tax_Value]]</f>
        <v>75105</v>
      </c>
      <c r="O400" s="10">
        <f>SALCE[[#This Row],[Gross_Sales]]*70%</f>
        <v>52500</v>
      </c>
      <c r="P400" s="10">
        <f>SALCE[[#This Row],[Net_Sales]]-SALCE[[#This Row],[Cost_Price]]</f>
        <v>22605</v>
      </c>
      <c r="Q400" s="10">
        <f>SALCE[[#This Row],[Gross_Sales]]-SALCE[[#This Row],[Discount_Value]]</f>
        <v>75000</v>
      </c>
      <c r="R400" s="15" t="s">
        <v>50</v>
      </c>
      <c r="S400" s="15" t="s">
        <v>21</v>
      </c>
      <c r="T400" s="15" t="s">
        <v>22</v>
      </c>
    </row>
    <row r="401" spans="1:20" s="12" customFormat="1" ht="30" customHeight="1" thickTop="1" thickBot="1" x14ac:dyDescent="0.4">
      <c r="A401" s="7">
        <v>1400</v>
      </c>
      <c r="B401" s="8">
        <v>45692</v>
      </c>
      <c r="C401" s="14" t="s">
        <v>17</v>
      </c>
      <c r="D401" s="14" t="s">
        <v>29</v>
      </c>
      <c r="E401" s="14" t="s">
        <v>19</v>
      </c>
      <c r="F401" s="14" t="s">
        <v>20</v>
      </c>
      <c r="G401" s="7">
        <v>1</v>
      </c>
      <c r="H401" s="7">
        <v>300</v>
      </c>
      <c r="I401" s="9">
        <v>10</v>
      </c>
      <c r="J401" s="10">
        <f>SALCE[[#This Row],[After_Discount]]*SALCE[[#This Row],[Tax_%]]/100</f>
        <v>0.37800000000000006</v>
      </c>
      <c r="K401" s="11">
        <v>0.14000000000000001</v>
      </c>
      <c r="L401" s="10">
        <f>SALCE[[#This Row],[Quantity]]*SALCE[[#This Row],[Unit_Price]]</f>
        <v>300</v>
      </c>
      <c r="M401" s="10">
        <f>SALCE[[#This Row],[Gross_Sales]]*SALCE[[#This Row],[Discount_%]]/100</f>
        <v>30</v>
      </c>
      <c r="N401" s="10">
        <f>SALCE[[#This Row],[After_Discount]]+SALCE[[#This Row],[Tax_Value]]</f>
        <v>270.37799999999999</v>
      </c>
      <c r="O401" s="10">
        <f>SALCE[[#This Row],[Gross_Sales]]*70%</f>
        <v>210</v>
      </c>
      <c r="P401" s="10">
        <f>SALCE[[#This Row],[Net_Sales]]-SALCE[[#This Row],[Cost_Price]]</f>
        <v>60.377999999999986</v>
      </c>
      <c r="Q401" s="10">
        <f>SALCE[[#This Row],[Gross_Sales]]-SALCE[[#This Row],[Discount_Value]]</f>
        <v>270</v>
      </c>
      <c r="R401" s="15" t="s">
        <v>49</v>
      </c>
      <c r="S401" s="15" t="s">
        <v>37</v>
      </c>
      <c r="T401" s="15" t="s">
        <v>27</v>
      </c>
    </row>
    <row r="402" spans="1:20" s="12" customFormat="1" ht="30" customHeight="1" thickTop="1" thickBot="1" x14ac:dyDescent="0.4">
      <c r="A402" s="7">
        <v>1401</v>
      </c>
      <c r="B402" s="8">
        <v>45693</v>
      </c>
      <c r="C402" s="14" t="s">
        <v>23</v>
      </c>
      <c r="D402" s="14" t="s">
        <v>29</v>
      </c>
      <c r="E402" s="14" t="s">
        <v>40</v>
      </c>
      <c r="F402" s="14" t="s">
        <v>20</v>
      </c>
      <c r="G402" s="7">
        <v>10</v>
      </c>
      <c r="H402" s="7">
        <v>800</v>
      </c>
      <c r="I402" s="9">
        <v>0</v>
      </c>
      <c r="J402" s="10">
        <f>SALCE[[#This Row],[After_Discount]]*SALCE[[#This Row],[Tax_%]]/100</f>
        <v>11.2</v>
      </c>
      <c r="K402" s="11">
        <v>0.14000000000000001</v>
      </c>
      <c r="L402" s="10">
        <f>SALCE[[#This Row],[Quantity]]*SALCE[[#This Row],[Unit_Price]]</f>
        <v>8000</v>
      </c>
      <c r="M402" s="10">
        <f>SALCE[[#This Row],[Gross_Sales]]*SALCE[[#This Row],[Discount_%]]/100</f>
        <v>0</v>
      </c>
      <c r="N402" s="10">
        <f>SALCE[[#This Row],[After_Discount]]+SALCE[[#This Row],[Tax_Value]]</f>
        <v>8011.2</v>
      </c>
      <c r="O402" s="10">
        <f>SALCE[[#This Row],[Gross_Sales]]*70%</f>
        <v>5600</v>
      </c>
      <c r="P402" s="10">
        <f>SALCE[[#This Row],[Net_Sales]]-SALCE[[#This Row],[Cost_Price]]</f>
        <v>2411.1999999999998</v>
      </c>
      <c r="Q402" s="10">
        <f>SALCE[[#This Row],[Gross_Sales]]-SALCE[[#This Row],[Discount_Value]]</f>
        <v>8000</v>
      </c>
      <c r="R402" s="15" t="s">
        <v>60</v>
      </c>
      <c r="S402" s="15" t="s">
        <v>21</v>
      </c>
      <c r="T402" s="15" t="s">
        <v>27</v>
      </c>
    </row>
    <row r="403" spans="1:20" s="12" customFormat="1" ht="30" customHeight="1" thickTop="1" thickBot="1" x14ac:dyDescent="0.4">
      <c r="A403" s="7">
        <v>1402</v>
      </c>
      <c r="B403" s="8">
        <v>45694</v>
      </c>
      <c r="C403" s="14" t="s">
        <v>35</v>
      </c>
      <c r="D403" s="14" t="s">
        <v>29</v>
      </c>
      <c r="E403" s="14" t="s">
        <v>19</v>
      </c>
      <c r="F403" s="14" t="s">
        <v>20</v>
      </c>
      <c r="G403" s="7">
        <v>7</v>
      </c>
      <c r="H403" s="7">
        <v>300</v>
      </c>
      <c r="I403" s="9">
        <v>15</v>
      </c>
      <c r="J403" s="10">
        <f>SALCE[[#This Row],[After_Discount]]*SALCE[[#This Row],[Tax_%]]/100</f>
        <v>2.4990000000000006</v>
      </c>
      <c r="K403" s="11">
        <v>0.14000000000000001</v>
      </c>
      <c r="L403" s="10">
        <f>SALCE[[#This Row],[Quantity]]*SALCE[[#This Row],[Unit_Price]]</f>
        <v>2100</v>
      </c>
      <c r="M403" s="10">
        <f>SALCE[[#This Row],[Gross_Sales]]*SALCE[[#This Row],[Discount_%]]/100</f>
        <v>315</v>
      </c>
      <c r="N403" s="10">
        <f>SALCE[[#This Row],[After_Discount]]+SALCE[[#This Row],[Tax_Value]]</f>
        <v>1787.499</v>
      </c>
      <c r="O403" s="10">
        <f>SALCE[[#This Row],[Gross_Sales]]*70%</f>
        <v>1470</v>
      </c>
      <c r="P403" s="10">
        <f>SALCE[[#This Row],[Net_Sales]]-SALCE[[#This Row],[Cost_Price]]</f>
        <v>317.49900000000002</v>
      </c>
      <c r="Q403" s="10">
        <f>SALCE[[#This Row],[Gross_Sales]]-SALCE[[#This Row],[Discount_Value]]</f>
        <v>1785</v>
      </c>
      <c r="R403" s="15" t="s">
        <v>53</v>
      </c>
      <c r="S403" s="15" t="s">
        <v>21</v>
      </c>
      <c r="T403" s="15" t="s">
        <v>22</v>
      </c>
    </row>
    <row r="404" spans="1:20" s="12" customFormat="1" ht="30" customHeight="1" thickTop="1" thickBot="1" x14ac:dyDescent="0.4">
      <c r="A404" s="7">
        <v>1403</v>
      </c>
      <c r="B404" s="8">
        <v>45695</v>
      </c>
      <c r="C404" s="14" t="s">
        <v>28</v>
      </c>
      <c r="D404" s="14" t="s">
        <v>36</v>
      </c>
      <c r="E404" s="14" t="s">
        <v>31</v>
      </c>
      <c r="F404" s="14" t="s">
        <v>32</v>
      </c>
      <c r="G404" s="7">
        <v>6</v>
      </c>
      <c r="H404" s="7">
        <v>15000</v>
      </c>
      <c r="I404" s="9">
        <v>15</v>
      </c>
      <c r="J404" s="10">
        <f>SALCE[[#This Row],[After_Discount]]*SALCE[[#This Row],[Tax_%]]/100</f>
        <v>107.10000000000002</v>
      </c>
      <c r="K404" s="11">
        <v>0.14000000000000001</v>
      </c>
      <c r="L404" s="10">
        <f>SALCE[[#This Row],[Quantity]]*SALCE[[#This Row],[Unit_Price]]</f>
        <v>90000</v>
      </c>
      <c r="M404" s="10">
        <f>SALCE[[#This Row],[Gross_Sales]]*SALCE[[#This Row],[Discount_%]]/100</f>
        <v>13500</v>
      </c>
      <c r="N404" s="10">
        <f>SALCE[[#This Row],[After_Discount]]+SALCE[[#This Row],[Tax_Value]]</f>
        <v>76607.100000000006</v>
      </c>
      <c r="O404" s="10">
        <f>SALCE[[#This Row],[Gross_Sales]]*70%</f>
        <v>62999.999999999993</v>
      </c>
      <c r="P404" s="10">
        <f>SALCE[[#This Row],[Net_Sales]]-SALCE[[#This Row],[Cost_Price]]</f>
        <v>13607.100000000013</v>
      </c>
      <c r="Q404" s="10">
        <f>SALCE[[#This Row],[Gross_Sales]]-SALCE[[#This Row],[Discount_Value]]</f>
        <v>76500</v>
      </c>
      <c r="R404" s="15" t="s">
        <v>52</v>
      </c>
      <c r="S404" s="15" t="s">
        <v>21</v>
      </c>
      <c r="T404" s="15" t="s">
        <v>27</v>
      </c>
    </row>
    <row r="405" spans="1:20" s="12" customFormat="1" ht="30" customHeight="1" thickTop="1" thickBot="1" x14ac:dyDescent="0.4">
      <c r="A405" s="7">
        <v>1404</v>
      </c>
      <c r="B405" s="8">
        <v>45696</v>
      </c>
      <c r="C405" s="14" t="s">
        <v>30</v>
      </c>
      <c r="D405" s="14" t="s">
        <v>24</v>
      </c>
      <c r="E405" s="14" t="s">
        <v>31</v>
      </c>
      <c r="F405" s="14" t="s">
        <v>32</v>
      </c>
      <c r="G405" s="7">
        <v>8</v>
      </c>
      <c r="H405" s="7">
        <v>15000</v>
      </c>
      <c r="I405" s="9">
        <v>5</v>
      </c>
      <c r="J405" s="10">
        <f>SALCE[[#This Row],[After_Discount]]*SALCE[[#This Row],[Tax_%]]/100</f>
        <v>159.60000000000002</v>
      </c>
      <c r="K405" s="11">
        <v>0.14000000000000001</v>
      </c>
      <c r="L405" s="10">
        <f>SALCE[[#This Row],[Quantity]]*SALCE[[#This Row],[Unit_Price]]</f>
        <v>120000</v>
      </c>
      <c r="M405" s="10">
        <f>SALCE[[#This Row],[Gross_Sales]]*SALCE[[#This Row],[Discount_%]]/100</f>
        <v>6000</v>
      </c>
      <c r="N405" s="10">
        <f>SALCE[[#This Row],[After_Discount]]+SALCE[[#This Row],[Tax_Value]]</f>
        <v>114159.6</v>
      </c>
      <c r="O405" s="10">
        <f>SALCE[[#This Row],[Gross_Sales]]*70%</f>
        <v>84000</v>
      </c>
      <c r="P405" s="10">
        <f>SALCE[[#This Row],[Net_Sales]]-SALCE[[#This Row],[Cost_Price]]</f>
        <v>30159.600000000006</v>
      </c>
      <c r="Q405" s="10">
        <f>SALCE[[#This Row],[Gross_Sales]]-SALCE[[#This Row],[Discount_Value]]</f>
        <v>114000</v>
      </c>
      <c r="R405" s="15" t="s">
        <v>62</v>
      </c>
      <c r="S405" s="15" t="s">
        <v>21</v>
      </c>
      <c r="T405" s="15" t="s">
        <v>27</v>
      </c>
    </row>
    <row r="406" spans="1:20" s="12" customFormat="1" ht="30" customHeight="1" thickTop="1" thickBot="1" x14ac:dyDescent="0.4">
      <c r="A406" s="7">
        <v>1405</v>
      </c>
      <c r="B406" s="8">
        <v>45697</v>
      </c>
      <c r="C406" s="14" t="s">
        <v>28</v>
      </c>
      <c r="D406" s="14" t="s">
        <v>29</v>
      </c>
      <c r="E406" s="14" t="s">
        <v>31</v>
      </c>
      <c r="F406" s="14" t="s">
        <v>32</v>
      </c>
      <c r="G406" s="7">
        <v>6</v>
      </c>
      <c r="H406" s="7">
        <v>15000</v>
      </c>
      <c r="I406" s="9">
        <v>10</v>
      </c>
      <c r="J406" s="10">
        <f>SALCE[[#This Row],[After_Discount]]*SALCE[[#This Row],[Tax_%]]/100</f>
        <v>113.40000000000002</v>
      </c>
      <c r="K406" s="11">
        <v>0.14000000000000001</v>
      </c>
      <c r="L406" s="10">
        <f>SALCE[[#This Row],[Quantity]]*SALCE[[#This Row],[Unit_Price]]</f>
        <v>90000</v>
      </c>
      <c r="M406" s="10">
        <f>SALCE[[#This Row],[Gross_Sales]]*SALCE[[#This Row],[Discount_%]]/100</f>
        <v>9000</v>
      </c>
      <c r="N406" s="10">
        <f>SALCE[[#This Row],[After_Discount]]+SALCE[[#This Row],[Tax_Value]]</f>
        <v>81113.399999999994</v>
      </c>
      <c r="O406" s="10">
        <f>SALCE[[#This Row],[Gross_Sales]]*70%</f>
        <v>62999.999999999993</v>
      </c>
      <c r="P406" s="10">
        <f>SALCE[[#This Row],[Net_Sales]]-SALCE[[#This Row],[Cost_Price]]</f>
        <v>18113.400000000001</v>
      </c>
      <c r="Q406" s="10">
        <f>SALCE[[#This Row],[Gross_Sales]]-SALCE[[#This Row],[Discount_Value]]</f>
        <v>81000</v>
      </c>
      <c r="R406" s="15" t="s">
        <v>47</v>
      </c>
      <c r="S406" s="15" t="s">
        <v>26</v>
      </c>
      <c r="T406" s="15" t="s">
        <v>27</v>
      </c>
    </row>
    <row r="407" spans="1:20" s="12" customFormat="1" ht="30" customHeight="1" thickTop="1" thickBot="1" x14ac:dyDescent="0.4">
      <c r="A407" s="7">
        <v>1406</v>
      </c>
      <c r="B407" s="8">
        <v>45698</v>
      </c>
      <c r="C407" s="14" t="s">
        <v>30</v>
      </c>
      <c r="D407" s="14" t="s">
        <v>41</v>
      </c>
      <c r="E407" s="14" t="s">
        <v>19</v>
      </c>
      <c r="F407" s="14" t="s">
        <v>20</v>
      </c>
      <c r="G407" s="7">
        <v>4</v>
      </c>
      <c r="H407" s="7">
        <v>300</v>
      </c>
      <c r="I407" s="9">
        <v>5</v>
      </c>
      <c r="J407" s="10">
        <f>SALCE[[#This Row],[After_Discount]]*SALCE[[#This Row],[Tax_%]]/100</f>
        <v>1.5960000000000003</v>
      </c>
      <c r="K407" s="11">
        <v>0.14000000000000001</v>
      </c>
      <c r="L407" s="10">
        <f>SALCE[[#This Row],[Quantity]]*SALCE[[#This Row],[Unit_Price]]</f>
        <v>1200</v>
      </c>
      <c r="M407" s="10">
        <f>SALCE[[#This Row],[Gross_Sales]]*SALCE[[#This Row],[Discount_%]]/100</f>
        <v>60</v>
      </c>
      <c r="N407" s="10">
        <f>SALCE[[#This Row],[After_Discount]]+SALCE[[#This Row],[Tax_Value]]</f>
        <v>1141.596</v>
      </c>
      <c r="O407" s="10">
        <f>SALCE[[#This Row],[Gross_Sales]]*70%</f>
        <v>840</v>
      </c>
      <c r="P407" s="10">
        <f>SALCE[[#This Row],[Net_Sales]]-SALCE[[#This Row],[Cost_Price]]</f>
        <v>301.596</v>
      </c>
      <c r="Q407" s="10">
        <f>SALCE[[#This Row],[Gross_Sales]]-SALCE[[#This Row],[Discount_Value]]</f>
        <v>1140</v>
      </c>
      <c r="R407" s="15" t="s">
        <v>62</v>
      </c>
      <c r="S407" s="15" t="s">
        <v>21</v>
      </c>
      <c r="T407" s="15" t="s">
        <v>22</v>
      </c>
    </row>
    <row r="408" spans="1:20" s="12" customFormat="1" ht="30" customHeight="1" thickTop="1" thickBot="1" x14ac:dyDescent="0.4">
      <c r="A408" s="7">
        <v>1407</v>
      </c>
      <c r="B408" s="8">
        <v>45699</v>
      </c>
      <c r="C408" s="14" t="s">
        <v>30</v>
      </c>
      <c r="D408" s="14" t="s">
        <v>41</v>
      </c>
      <c r="E408" s="14" t="s">
        <v>40</v>
      </c>
      <c r="F408" s="14" t="s">
        <v>20</v>
      </c>
      <c r="G408" s="7">
        <v>5</v>
      </c>
      <c r="H408" s="7">
        <v>800</v>
      </c>
      <c r="I408" s="9">
        <v>10</v>
      </c>
      <c r="J408" s="10">
        <f>SALCE[[#This Row],[After_Discount]]*SALCE[[#This Row],[Tax_%]]/100</f>
        <v>5.0400000000000009</v>
      </c>
      <c r="K408" s="11">
        <v>0.14000000000000001</v>
      </c>
      <c r="L408" s="10">
        <f>SALCE[[#This Row],[Quantity]]*SALCE[[#This Row],[Unit_Price]]</f>
        <v>4000</v>
      </c>
      <c r="M408" s="10">
        <f>SALCE[[#This Row],[Gross_Sales]]*SALCE[[#This Row],[Discount_%]]/100</f>
        <v>400</v>
      </c>
      <c r="N408" s="10">
        <f>SALCE[[#This Row],[After_Discount]]+SALCE[[#This Row],[Tax_Value]]</f>
        <v>3605.04</v>
      </c>
      <c r="O408" s="10">
        <f>SALCE[[#This Row],[Gross_Sales]]*70%</f>
        <v>2800</v>
      </c>
      <c r="P408" s="10">
        <f>SALCE[[#This Row],[Net_Sales]]-SALCE[[#This Row],[Cost_Price]]</f>
        <v>805.04</v>
      </c>
      <c r="Q408" s="10">
        <f>SALCE[[#This Row],[Gross_Sales]]-SALCE[[#This Row],[Discount_Value]]</f>
        <v>3600</v>
      </c>
      <c r="R408" s="15" t="s">
        <v>50</v>
      </c>
      <c r="S408" s="15" t="s">
        <v>21</v>
      </c>
      <c r="T408" s="15" t="s">
        <v>22</v>
      </c>
    </row>
    <row r="409" spans="1:20" s="12" customFormat="1" ht="30" customHeight="1" thickTop="1" thickBot="1" x14ac:dyDescent="0.4">
      <c r="A409" s="7">
        <v>1408</v>
      </c>
      <c r="B409" s="8">
        <v>45700</v>
      </c>
      <c r="C409" s="14" t="s">
        <v>28</v>
      </c>
      <c r="D409" s="14" t="s">
        <v>36</v>
      </c>
      <c r="E409" s="14" t="s">
        <v>19</v>
      </c>
      <c r="F409" s="14" t="s">
        <v>20</v>
      </c>
      <c r="G409" s="7">
        <v>2</v>
      </c>
      <c r="H409" s="7">
        <v>300</v>
      </c>
      <c r="I409" s="9">
        <v>0</v>
      </c>
      <c r="J409" s="10">
        <f>SALCE[[#This Row],[After_Discount]]*SALCE[[#This Row],[Tax_%]]/100</f>
        <v>0.84000000000000019</v>
      </c>
      <c r="K409" s="11">
        <v>0.14000000000000001</v>
      </c>
      <c r="L409" s="10">
        <f>SALCE[[#This Row],[Quantity]]*SALCE[[#This Row],[Unit_Price]]</f>
        <v>600</v>
      </c>
      <c r="M409" s="10">
        <f>SALCE[[#This Row],[Gross_Sales]]*SALCE[[#This Row],[Discount_%]]/100</f>
        <v>0</v>
      </c>
      <c r="N409" s="10">
        <f>SALCE[[#This Row],[After_Discount]]+SALCE[[#This Row],[Tax_Value]]</f>
        <v>600.84</v>
      </c>
      <c r="O409" s="10">
        <f>SALCE[[#This Row],[Gross_Sales]]*70%</f>
        <v>420</v>
      </c>
      <c r="P409" s="10">
        <f>SALCE[[#This Row],[Net_Sales]]-SALCE[[#This Row],[Cost_Price]]</f>
        <v>180.84000000000003</v>
      </c>
      <c r="Q409" s="10">
        <f>SALCE[[#This Row],[Gross_Sales]]-SALCE[[#This Row],[Discount_Value]]</f>
        <v>600</v>
      </c>
      <c r="R409" s="15" t="s">
        <v>62</v>
      </c>
      <c r="S409" s="15" t="s">
        <v>21</v>
      </c>
      <c r="T409" s="15" t="s">
        <v>22</v>
      </c>
    </row>
    <row r="410" spans="1:20" s="12" customFormat="1" ht="30" customHeight="1" thickTop="1" thickBot="1" x14ac:dyDescent="0.4">
      <c r="A410" s="7">
        <v>1409</v>
      </c>
      <c r="B410" s="8">
        <v>45701</v>
      </c>
      <c r="C410" s="14" t="s">
        <v>35</v>
      </c>
      <c r="D410" s="14" t="s">
        <v>41</v>
      </c>
      <c r="E410" s="14" t="s">
        <v>33</v>
      </c>
      <c r="F410" s="14" t="s">
        <v>32</v>
      </c>
      <c r="G410" s="7">
        <v>8</v>
      </c>
      <c r="H410" s="7">
        <v>6000</v>
      </c>
      <c r="I410" s="9">
        <v>5</v>
      </c>
      <c r="J410" s="10">
        <f>SALCE[[#This Row],[After_Discount]]*SALCE[[#This Row],[Tax_%]]/100</f>
        <v>63.840000000000011</v>
      </c>
      <c r="K410" s="11">
        <v>0.14000000000000001</v>
      </c>
      <c r="L410" s="10">
        <f>SALCE[[#This Row],[Quantity]]*SALCE[[#This Row],[Unit_Price]]</f>
        <v>48000</v>
      </c>
      <c r="M410" s="10">
        <f>SALCE[[#This Row],[Gross_Sales]]*SALCE[[#This Row],[Discount_%]]/100</f>
        <v>2400</v>
      </c>
      <c r="N410" s="10">
        <f>SALCE[[#This Row],[After_Discount]]+SALCE[[#This Row],[Tax_Value]]</f>
        <v>45663.839999999997</v>
      </c>
      <c r="O410" s="10">
        <f>SALCE[[#This Row],[Gross_Sales]]*70%</f>
        <v>33600</v>
      </c>
      <c r="P410" s="10">
        <f>SALCE[[#This Row],[Net_Sales]]-SALCE[[#This Row],[Cost_Price]]</f>
        <v>12063.839999999997</v>
      </c>
      <c r="Q410" s="10">
        <f>SALCE[[#This Row],[Gross_Sales]]-SALCE[[#This Row],[Discount_Value]]</f>
        <v>45600</v>
      </c>
      <c r="R410" s="15" t="s">
        <v>60</v>
      </c>
      <c r="S410" s="15" t="s">
        <v>37</v>
      </c>
      <c r="T410" s="15" t="s">
        <v>27</v>
      </c>
    </row>
    <row r="411" spans="1:20" s="12" customFormat="1" ht="30" customHeight="1" thickTop="1" thickBot="1" x14ac:dyDescent="0.4">
      <c r="A411" s="7">
        <v>1410</v>
      </c>
      <c r="B411" s="8">
        <v>45702</v>
      </c>
      <c r="C411" s="14" t="s">
        <v>30</v>
      </c>
      <c r="D411" s="14" t="s">
        <v>29</v>
      </c>
      <c r="E411" s="14" t="s">
        <v>31</v>
      </c>
      <c r="F411" s="14" t="s">
        <v>32</v>
      </c>
      <c r="G411" s="7">
        <v>6</v>
      </c>
      <c r="H411" s="7">
        <v>15000</v>
      </c>
      <c r="I411" s="9">
        <v>15</v>
      </c>
      <c r="J411" s="10">
        <f>SALCE[[#This Row],[After_Discount]]*SALCE[[#This Row],[Tax_%]]/100</f>
        <v>107.10000000000002</v>
      </c>
      <c r="K411" s="11">
        <v>0.14000000000000001</v>
      </c>
      <c r="L411" s="10">
        <f>SALCE[[#This Row],[Quantity]]*SALCE[[#This Row],[Unit_Price]]</f>
        <v>90000</v>
      </c>
      <c r="M411" s="10">
        <f>SALCE[[#This Row],[Gross_Sales]]*SALCE[[#This Row],[Discount_%]]/100</f>
        <v>13500</v>
      </c>
      <c r="N411" s="10">
        <f>SALCE[[#This Row],[After_Discount]]+SALCE[[#This Row],[Tax_Value]]</f>
        <v>76607.100000000006</v>
      </c>
      <c r="O411" s="10">
        <f>SALCE[[#This Row],[Gross_Sales]]*70%</f>
        <v>62999.999999999993</v>
      </c>
      <c r="P411" s="10">
        <f>SALCE[[#This Row],[Net_Sales]]-SALCE[[#This Row],[Cost_Price]]</f>
        <v>13607.100000000013</v>
      </c>
      <c r="Q411" s="10">
        <f>SALCE[[#This Row],[Gross_Sales]]-SALCE[[#This Row],[Discount_Value]]</f>
        <v>76500</v>
      </c>
      <c r="R411" s="15" t="s">
        <v>59</v>
      </c>
      <c r="S411" s="15" t="s">
        <v>21</v>
      </c>
      <c r="T411" s="15" t="s">
        <v>27</v>
      </c>
    </row>
    <row r="412" spans="1:20" s="12" customFormat="1" ht="30" customHeight="1" thickTop="1" thickBot="1" x14ac:dyDescent="0.4">
      <c r="A412" s="7">
        <v>1411</v>
      </c>
      <c r="B412" s="8">
        <v>45703</v>
      </c>
      <c r="C412" s="14" t="s">
        <v>23</v>
      </c>
      <c r="D412" s="14" t="s">
        <v>18</v>
      </c>
      <c r="E412" s="14" t="s">
        <v>34</v>
      </c>
      <c r="F412" s="14" t="s">
        <v>32</v>
      </c>
      <c r="G412" s="7">
        <v>6</v>
      </c>
      <c r="H412" s="7">
        <v>4000</v>
      </c>
      <c r="I412" s="9">
        <v>10</v>
      </c>
      <c r="J412" s="10">
        <f>SALCE[[#This Row],[After_Discount]]*SALCE[[#This Row],[Tax_%]]/100</f>
        <v>30.240000000000006</v>
      </c>
      <c r="K412" s="11">
        <v>0.14000000000000001</v>
      </c>
      <c r="L412" s="10">
        <f>SALCE[[#This Row],[Quantity]]*SALCE[[#This Row],[Unit_Price]]</f>
        <v>24000</v>
      </c>
      <c r="M412" s="10">
        <f>SALCE[[#This Row],[Gross_Sales]]*SALCE[[#This Row],[Discount_%]]/100</f>
        <v>2400</v>
      </c>
      <c r="N412" s="10">
        <f>SALCE[[#This Row],[After_Discount]]+SALCE[[#This Row],[Tax_Value]]</f>
        <v>21630.240000000002</v>
      </c>
      <c r="O412" s="10">
        <f>SALCE[[#This Row],[Gross_Sales]]*70%</f>
        <v>16800</v>
      </c>
      <c r="P412" s="10">
        <f>SALCE[[#This Row],[Net_Sales]]-SALCE[[#This Row],[Cost_Price]]</f>
        <v>4830.2400000000016</v>
      </c>
      <c r="Q412" s="10">
        <f>SALCE[[#This Row],[Gross_Sales]]-SALCE[[#This Row],[Discount_Value]]</f>
        <v>21600</v>
      </c>
      <c r="R412" s="15" t="s">
        <v>51</v>
      </c>
      <c r="S412" s="15" t="s">
        <v>37</v>
      </c>
      <c r="T412" s="15" t="s">
        <v>22</v>
      </c>
    </row>
    <row r="413" spans="1:20" s="12" customFormat="1" ht="30" customHeight="1" thickTop="1" thickBot="1" x14ac:dyDescent="0.4">
      <c r="A413" s="7">
        <v>1412</v>
      </c>
      <c r="B413" s="8">
        <v>45704</v>
      </c>
      <c r="C413" s="14" t="s">
        <v>28</v>
      </c>
      <c r="D413" s="14" t="s">
        <v>24</v>
      </c>
      <c r="E413" s="14" t="s">
        <v>34</v>
      </c>
      <c r="F413" s="14" t="s">
        <v>32</v>
      </c>
      <c r="G413" s="7">
        <v>3</v>
      </c>
      <c r="H413" s="7">
        <v>4000</v>
      </c>
      <c r="I413" s="9">
        <v>5</v>
      </c>
      <c r="J413" s="10">
        <f>SALCE[[#This Row],[After_Discount]]*SALCE[[#This Row],[Tax_%]]/100</f>
        <v>15.960000000000003</v>
      </c>
      <c r="K413" s="11">
        <v>0.14000000000000001</v>
      </c>
      <c r="L413" s="10">
        <f>SALCE[[#This Row],[Quantity]]*SALCE[[#This Row],[Unit_Price]]</f>
        <v>12000</v>
      </c>
      <c r="M413" s="10">
        <f>SALCE[[#This Row],[Gross_Sales]]*SALCE[[#This Row],[Discount_%]]/100</f>
        <v>600</v>
      </c>
      <c r="N413" s="10">
        <f>SALCE[[#This Row],[After_Discount]]+SALCE[[#This Row],[Tax_Value]]</f>
        <v>11415.96</v>
      </c>
      <c r="O413" s="10">
        <f>SALCE[[#This Row],[Gross_Sales]]*70%</f>
        <v>8400</v>
      </c>
      <c r="P413" s="10">
        <f>SALCE[[#This Row],[Net_Sales]]-SALCE[[#This Row],[Cost_Price]]</f>
        <v>3015.9599999999991</v>
      </c>
      <c r="Q413" s="10">
        <f>SALCE[[#This Row],[Gross_Sales]]-SALCE[[#This Row],[Discount_Value]]</f>
        <v>11400</v>
      </c>
      <c r="R413" s="15" t="s">
        <v>61</v>
      </c>
      <c r="S413" s="15" t="s">
        <v>21</v>
      </c>
      <c r="T413" s="15" t="s">
        <v>22</v>
      </c>
    </row>
    <row r="414" spans="1:20" s="12" customFormat="1" ht="30" customHeight="1" thickTop="1" thickBot="1" x14ac:dyDescent="0.4">
      <c r="A414" s="7">
        <v>1413</v>
      </c>
      <c r="B414" s="8">
        <v>45705</v>
      </c>
      <c r="C414" s="14" t="s">
        <v>17</v>
      </c>
      <c r="D414" s="14" t="s">
        <v>18</v>
      </c>
      <c r="E414" s="14" t="s">
        <v>34</v>
      </c>
      <c r="F414" s="14" t="s">
        <v>32</v>
      </c>
      <c r="G414" s="7">
        <v>4</v>
      </c>
      <c r="H414" s="7">
        <v>4000</v>
      </c>
      <c r="I414" s="9">
        <v>0</v>
      </c>
      <c r="J414" s="10">
        <f>SALCE[[#This Row],[After_Discount]]*SALCE[[#This Row],[Tax_%]]/100</f>
        <v>22.4</v>
      </c>
      <c r="K414" s="11">
        <v>0.14000000000000001</v>
      </c>
      <c r="L414" s="10">
        <f>SALCE[[#This Row],[Quantity]]*SALCE[[#This Row],[Unit_Price]]</f>
        <v>16000</v>
      </c>
      <c r="M414" s="10">
        <f>SALCE[[#This Row],[Gross_Sales]]*SALCE[[#This Row],[Discount_%]]/100</f>
        <v>0</v>
      </c>
      <c r="N414" s="10">
        <f>SALCE[[#This Row],[After_Discount]]+SALCE[[#This Row],[Tax_Value]]</f>
        <v>16022.4</v>
      </c>
      <c r="O414" s="10">
        <f>SALCE[[#This Row],[Gross_Sales]]*70%</f>
        <v>11200</v>
      </c>
      <c r="P414" s="10">
        <f>SALCE[[#This Row],[Net_Sales]]-SALCE[[#This Row],[Cost_Price]]</f>
        <v>4822.3999999999996</v>
      </c>
      <c r="Q414" s="10">
        <f>SALCE[[#This Row],[Gross_Sales]]-SALCE[[#This Row],[Discount_Value]]</f>
        <v>16000</v>
      </c>
      <c r="R414" s="15" t="s">
        <v>51</v>
      </c>
      <c r="S414" s="15" t="s">
        <v>26</v>
      </c>
      <c r="T414" s="15" t="s">
        <v>27</v>
      </c>
    </row>
    <row r="415" spans="1:20" s="12" customFormat="1" ht="30" customHeight="1" thickTop="1" thickBot="1" x14ac:dyDescent="0.4">
      <c r="A415" s="7">
        <v>1414</v>
      </c>
      <c r="B415" s="8">
        <v>45706</v>
      </c>
      <c r="C415" s="14" t="s">
        <v>28</v>
      </c>
      <c r="D415" s="14" t="s">
        <v>41</v>
      </c>
      <c r="E415" s="14" t="s">
        <v>33</v>
      </c>
      <c r="F415" s="14" t="s">
        <v>32</v>
      </c>
      <c r="G415" s="7">
        <v>7</v>
      </c>
      <c r="H415" s="7">
        <v>6000</v>
      </c>
      <c r="I415" s="9">
        <v>15</v>
      </c>
      <c r="J415" s="10">
        <f>SALCE[[#This Row],[After_Discount]]*SALCE[[#This Row],[Tax_%]]/100</f>
        <v>49.980000000000011</v>
      </c>
      <c r="K415" s="11">
        <v>0.14000000000000001</v>
      </c>
      <c r="L415" s="10">
        <f>SALCE[[#This Row],[Quantity]]*SALCE[[#This Row],[Unit_Price]]</f>
        <v>42000</v>
      </c>
      <c r="M415" s="10">
        <f>SALCE[[#This Row],[Gross_Sales]]*SALCE[[#This Row],[Discount_%]]/100</f>
        <v>6300</v>
      </c>
      <c r="N415" s="10">
        <f>SALCE[[#This Row],[After_Discount]]+SALCE[[#This Row],[Tax_Value]]</f>
        <v>35749.980000000003</v>
      </c>
      <c r="O415" s="10">
        <f>SALCE[[#This Row],[Gross_Sales]]*70%</f>
        <v>29399.999999999996</v>
      </c>
      <c r="P415" s="10">
        <f>SALCE[[#This Row],[Net_Sales]]-SALCE[[#This Row],[Cost_Price]]</f>
        <v>6349.9800000000068</v>
      </c>
      <c r="Q415" s="10">
        <f>SALCE[[#This Row],[Gross_Sales]]-SALCE[[#This Row],[Discount_Value]]</f>
        <v>35700</v>
      </c>
      <c r="R415" s="15" t="s">
        <v>47</v>
      </c>
      <c r="S415" s="15" t="s">
        <v>26</v>
      </c>
      <c r="T415" s="15" t="s">
        <v>22</v>
      </c>
    </row>
    <row r="416" spans="1:20" s="12" customFormat="1" ht="30" customHeight="1" thickTop="1" thickBot="1" x14ac:dyDescent="0.4">
      <c r="A416" s="7">
        <v>1415</v>
      </c>
      <c r="B416" s="8">
        <v>45707</v>
      </c>
      <c r="C416" s="14" t="s">
        <v>17</v>
      </c>
      <c r="D416" s="14" t="s">
        <v>29</v>
      </c>
      <c r="E416" s="14" t="s">
        <v>31</v>
      </c>
      <c r="F416" s="14" t="s">
        <v>32</v>
      </c>
      <c r="G416" s="7">
        <v>5</v>
      </c>
      <c r="H416" s="7">
        <v>15000</v>
      </c>
      <c r="I416" s="9">
        <v>5</v>
      </c>
      <c r="J416" s="10">
        <f>SALCE[[#This Row],[After_Discount]]*SALCE[[#This Row],[Tax_%]]/100</f>
        <v>99.750000000000014</v>
      </c>
      <c r="K416" s="11">
        <v>0.14000000000000001</v>
      </c>
      <c r="L416" s="10">
        <f>SALCE[[#This Row],[Quantity]]*SALCE[[#This Row],[Unit_Price]]</f>
        <v>75000</v>
      </c>
      <c r="M416" s="10">
        <f>SALCE[[#This Row],[Gross_Sales]]*SALCE[[#This Row],[Discount_%]]/100</f>
        <v>3750</v>
      </c>
      <c r="N416" s="10">
        <f>SALCE[[#This Row],[After_Discount]]+SALCE[[#This Row],[Tax_Value]]</f>
        <v>71349.75</v>
      </c>
      <c r="O416" s="10">
        <f>SALCE[[#This Row],[Gross_Sales]]*70%</f>
        <v>52500</v>
      </c>
      <c r="P416" s="10">
        <f>SALCE[[#This Row],[Net_Sales]]-SALCE[[#This Row],[Cost_Price]]</f>
        <v>18849.75</v>
      </c>
      <c r="Q416" s="10">
        <f>SALCE[[#This Row],[Gross_Sales]]-SALCE[[#This Row],[Discount_Value]]</f>
        <v>71250</v>
      </c>
      <c r="R416" s="15" t="s">
        <v>49</v>
      </c>
      <c r="S416" s="15" t="s">
        <v>21</v>
      </c>
      <c r="T416" s="15" t="s">
        <v>27</v>
      </c>
    </row>
    <row r="417" spans="1:20" s="12" customFormat="1" ht="30" customHeight="1" thickTop="1" thickBot="1" x14ac:dyDescent="0.4">
      <c r="A417" s="7">
        <v>1416</v>
      </c>
      <c r="B417" s="8">
        <v>45708</v>
      </c>
      <c r="C417" s="14" t="s">
        <v>30</v>
      </c>
      <c r="D417" s="14" t="s">
        <v>18</v>
      </c>
      <c r="E417" s="14" t="s">
        <v>31</v>
      </c>
      <c r="F417" s="14" t="s">
        <v>32</v>
      </c>
      <c r="G417" s="7">
        <v>2</v>
      </c>
      <c r="H417" s="7">
        <v>15000</v>
      </c>
      <c r="I417" s="9">
        <v>10</v>
      </c>
      <c r="J417" s="10">
        <f>SALCE[[#This Row],[After_Discount]]*SALCE[[#This Row],[Tax_%]]/100</f>
        <v>37.800000000000004</v>
      </c>
      <c r="K417" s="11">
        <v>0.14000000000000001</v>
      </c>
      <c r="L417" s="10">
        <f>SALCE[[#This Row],[Quantity]]*SALCE[[#This Row],[Unit_Price]]</f>
        <v>30000</v>
      </c>
      <c r="M417" s="10">
        <f>SALCE[[#This Row],[Gross_Sales]]*SALCE[[#This Row],[Discount_%]]/100</f>
        <v>3000</v>
      </c>
      <c r="N417" s="10">
        <f>SALCE[[#This Row],[After_Discount]]+SALCE[[#This Row],[Tax_Value]]</f>
        <v>27037.8</v>
      </c>
      <c r="O417" s="10">
        <f>SALCE[[#This Row],[Gross_Sales]]*70%</f>
        <v>21000</v>
      </c>
      <c r="P417" s="10">
        <f>SALCE[[#This Row],[Net_Sales]]-SALCE[[#This Row],[Cost_Price]]</f>
        <v>6037.7999999999993</v>
      </c>
      <c r="Q417" s="10">
        <f>SALCE[[#This Row],[Gross_Sales]]-SALCE[[#This Row],[Discount_Value]]</f>
        <v>27000</v>
      </c>
      <c r="R417" s="15" t="s">
        <v>58</v>
      </c>
      <c r="S417" s="15" t="s">
        <v>37</v>
      </c>
      <c r="T417" s="15" t="s">
        <v>27</v>
      </c>
    </row>
    <row r="418" spans="1:20" s="12" customFormat="1" ht="30" customHeight="1" thickTop="1" thickBot="1" x14ac:dyDescent="0.4">
      <c r="A418" s="7">
        <v>1417</v>
      </c>
      <c r="B418" s="8">
        <v>45709</v>
      </c>
      <c r="C418" s="14" t="s">
        <v>28</v>
      </c>
      <c r="D418" s="14" t="s">
        <v>41</v>
      </c>
      <c r="E418" s="14" t="s">
        <v>34</v>
      </c>
      <c r="F418" s="14" t="s">
        <v>32</v>
      </c>
      <c r="G418" s="7">
        <v>3</v>
      </c>
      <c r="H418" s="7">
        <v>4000</v>
      </c>
      <c r="I418" s="9">
        <v>15</v>
      </c>
      <c r="J418" s="10">
        <f>SALCE[[#This Row],[After_Discount]]*SALCE[[#This Row],[Tax_%]]/100</f>
        <v>14.280000000000003</v>
      </c>
      <c r="K418" s="11">
        <v>0.14000000000000001</v>
      </c>
      <c r="L418" s="10">
        <f>SALCE[[#This Row],[Quantity]]*SALCE[[#This Row],[Unit_Price]]</f>
        <v>12000</v>
      </c>
      <c r="M418" s="10">
        <f>SALCE[[#This Row],[Gross_Sales]]*SALCE[[#This Row],[Discount_%]]/100</f>
        <v>1800</v>
      </c>
      <c r="N418" s="10">
        <f>SALCE[[#This Row],[After_Discount]]+SALCE[[#This Row],[Tax_Value]]</f>
        <v>10214.280000000001</v>
      </c>
      <c r="O418" s="10">
        <f>SALCE[[#This Row],[Gross_Sales]]*70%</f>
        <v>8400</v>
      </c>
      <c r="P418" s="10">
        <f>SALCE[[#This Row],[Net_Sales]]-SALCE[[#This Row],[Cost_Price]]</f>
        <v>1814.2800000000007</v>
      </c>
      <c r="Q418" s="10">
        <f>SALCE[[#This Row],[Gross_Sales]]-SALCE[[#This Row],[Discount_Value]]</f>
        <v>10200</v>
      </c>
      <c r="R418" s="15" t="s">
        <v>57</v>
      </c>
      <c r="S418" s="15" t="s">
        <v>21</v>
      </c>
      <c r="T418" s="15" t="s">
        <v>22</v>
      </c>
    </row>
    <row r="419" spans="1:20" s="12" customFormat="1" ht="30" customHeight="1" thickTop="1" thickBot="1" x14ac:dyDescent="0.4">
      <c r="A419" s="7">
        <v>1418</v>
      </c>
      <c r="B419" s="8">
        <v>45710</v>
      </c>
      <c r="C419" s="14" t="s">
        <v>35</v>
      </c>
      <c r="D419" s="14" t="s">
        <v>18</v>
      </c>
      <c r="E419" s="14" t="s">
        <v>34</v>
      </c>
      <c r="F419" s="14" t="s">
        <v>32</v>
      </c>
      <c r="G419" s="7">
        <v>3</v>
      </c>
      <c r="H419" s="7">
        <v>4000</v>
      </c>
      <c r="I419" s="9">
        <v>5</v>
      </c>
      <c r="J419" s="10">
        <f>SALCE[[#This Row],[After_Discount]]*SALCE[[#This Row],[Tax_%]]/100</f>
        <v>15.960000000000003</v>
      </c>
      <c r="K419" s="11">
        <v>0.14000000000000001</v>
      </c>
      <c r="L419" s="10">
        <f>SALCE[[#This Row],[Quantity]]*SALCE[[#This Row],[Unit_Price]]</f>
        <v>12000</v>
      </c>
      <c r="M419" s="10">
        <f>SALCE[[#This Row],[Gross_Sales]]*SALCE[[#This Row],[Discount_%]]/100</f>
        <v>600</v>
      </c>
      <c r="N419" s="10">
        <f>SALCE[[#This Row],[After_Discount]]+SALCE[[#This Row],[Tax_Value]]</f>
        <v>11415.96</v>
      </c>
      <c r="O419" s="10">
        <f>SALCE[[#This Row],[Gross_Sales]]*70%</f>
        <v>8400</v>
      </c>
      <c r="P419" s="10">
        <f>SALCE[[#This Row],[Net_Sales]]-SALCE[[#This Row],[Cost_Price]]</f>
        <v>3015.9599999999991</v>
      </c>
      <c r="Q419" s="10">
        <f>SALCE[[#This Row],[Gross_Sales]]-SALCE[[#This Row],[Discount_Value]]</f>
        <v>11400</v>
      </c>
      <c r="R419" s="15" t="s">
        <v>59</v>
      </c>
      <c r="S419" s="15" t="s">
        <v>37</v>
      </c>
      <c r="T419" s="15" t="s">
        <v>22</v>
      </c>
    </row>
    <row r="420" spans="1:20" s="12" customFormat="1" ht="30" customHeight="1" thickTop="1" thickBot="1" x14ac:dyDescent="0.4">
      <c r="A420" s="7">
        <v>1419</v>
      </c>
      <c r="B420" s="8">
        <v>45711</v>
      </c>
      <c r="C420" s="14" t="s">
        <v>39</v>
      </c>
      <c r="D420" s="14" t="s">
        <v>24</v>
      </c>
      <c r="E420" s="14" t="s">
        <v>19</v>
      </c>
      <c r="F420" s="14" t="s">
        <v>20</v>
      </c>
      <c r="G420" s="7">
        <v>8</v>
      </c>
      <c r="H420" s="7">
        <v>300</v>
      </c>
      <c r="I420" s="9">
        <v>5</v>
      </c>
      <c r="J420" s="10">
        <f>SALCE[[#This Row],[After_Discount]]*SALCE[[#This Row],[Tax_%]]/100</f>
        <v>3.1920000000000006</v>
      </c>
      <c r="K420" s="11">
        <v>0.14000000000000001</v>
      </c>
      <c r="L420" s="10">
        <f>SALCE[[#This Row],[Quantity]]*SALCE[[#This Row],[Unit_Price]]</f>
        <v>2400</v>
      </c>
      <c r="M420" s="10">
        <f>SALCE[[#This Row],[Gross_Sales]]*SALCE[[#This Row],[Discount_%]]/100</f>
        <v>120</v>
      </c>
      <c r="N420" s="10">
        <f>SALCE[[#This Row],[After_Discount]]+SALCE[[#This Row],[Tax_Value]]</f>
        <v>2283.192</v>
      </c>
      <c r="O420" s="10">
        <f>SALCE[[#This Row],[Gross_Sales]]*70%</f>
        <v>1680</v>
      </c>
      <c r="P420" s="10">
        <f>SALCE[[#This Row],[Net_Sales]]-SALCE[[#This Row],[Cost_Price]]</f>
        <v>603.19200000000001</v>
      </c>
      <c r="Q420" s="10">
        <f>SALCE[[#This Row],[Gross_Sales]]-SALCE[[#This Row],[Discount_Value]]</f>
        <v>2280</v>
      </c>
      <c r="R420" s="15" t="s">
        <v>57</v>
      </c>
      <c r="S420" s="15" t="s">
        <v>26</v>
      </c>
      <c r="T420" s="15" t="s">
        <v>27</v>
      </c>
    </row>
    <row r="421" spans="1:20" s="12" customFormat="1" ht="30" customHeight="1" thickTop="1" thickBot="1" x14ac:dyDescent="0.4">
      <c r="A421" s="7">
        <v>1420</v>
      </c>
      <c r="B421" s="8">
        <v>45712</v>
      </c>
      <c r="C421" s="14" t="s">
        <v>35</v>
      </c>
      <c r="D421" s="14" t="s">
        <v>29</v>
      </c>
      <c r="E421" s="14" t="s">
        <v>33</v>
      </c>
      <c r="F421" s="14" t="s">
        <v>32</v>
      </c>
      <c r="G421" s="7">
        <v>1</v>
      </c>
      <c r="H421" s="7">
        <v>6000</v>
      </c>
      <c r="I421" s="9">
        <v>0</v>
      </c>
      <c r="J421" s="10">
        <f>SALCE[[#This Row],[After_Discount]]*SALCE[[#This Row],[Tax_%]]/100</f>
        <v>8.4</v>
      </c>
      <c r="K421" s="11">
        <v>0.14000000000000001</v>
      </c>
      <c r="L421" s="10">
        <f>SALCE[[#This Row],[Quantity]]*SALCE[[#This Row],[Unit_Price]]</f>
        <v>6000</v>
      </c>
      <c r="M421" s="10">
        <f>SALCE[[#This Row],[Gross_Sales]]*SALCE[[#This Row],[Discount_%]]/100</f>
        <v>0</v>
      </c>
      <c r="N421" s="10">
        <f>SALCE[[#This Row],[After_Discount]]+SALCE[[#This Row],[Tax_Value]]</f>
        <v>6008.4</v>
      </c>
      <c r="O421" s="10">
        <f>SALCE[[#This Row],[Gross_Sales]]*70%</f>
        <v>4200</v>
      </c>
      <c r="P421" s="10">
        <f>SALCE[[#This Row],[Net_Sales]]-SALCE[[#This Row],[Cost_Price]]</f>
        <v>1808.3999999999996</v>
      </c>
      <c r="Q421" s="10">
        <f>SALCE[[#This Row],[Gross_Sales]]-SALCE[[#This Row],[Discount_Value]]</f>
        <v>6000</v>
      </c>
      <c r="R421" s="15" t="s">
        <v>59</v>
      </c>
      <c r="S421" s="15" t="s">
        <v>21</v>
      </c>
      <c r="T421" s="15" t="s">
        <v>22</v>
      </c>
    </row>
    <row r="422" spans="1:20" s="12" customFormat="1" ht="30" customHeight="1" thickTop="1" thickBot="1" x14ac:dyDescent="0.4">
      <c r="A422" s="7">
        <v>1421</v>
      </c>
      <c r="B422" s="8">
        <v>45713</v>
      </c>
      <c r="C422" s="14" t="s">
        <v>30</v>
      </c>
      <c r="D422" s="14" t="s">
        <v>18</v>
      </c>
      <c r="E422" s="14" t="s">
        <v>40</v>
      </c>
      <c r="F422" s="14" t="s">
        <v>20</v>
      </c>
      <c r="G422" s="7">
        <v>8</v>
      </c>
      <c r="H422" s="7">
        <v>800</v>
      </c>
      <c r="I422" s="9">
        <v>15</v>
      </c>
      <c r="J422" s="10">
        <f>SALCE[[#This Row],[After_Discount]]*SALCE[[#This Row],[Tax_%]]/100</f>
        <v>7.6160000000000005</v>
      </c>
      <c r="K422" s="11">
        <v>0.14000000000000001</v>
      </c>
      <c r="L422" s="10">
        <f>SALCE[[#This Row],[Quantity]]*SALCE[[#This Row],[Unit_Price]]</f>
        <v>6400</v>
      </c>
      <c r="M422" s="10">
        <f>SALCE[[#This Row],[Gross_Sales]]*SALCE[[#This Row],[Discount_%]]/100</f>
        <v>960</v>
      </c>
      <c r="N422" s="10">
        <f>SALCE[[#This Row],[After_Discount]]+SALCE[[#This Row],[Tax_Value]]</f>
        <v>5447.616</v>
      </c>
      <c r="O422" s="10">
        <f>SALCE[[#This Row],[Gross_Sales]]*70%</f>
        <v>4480</v>
      </c>
      <c r="P422" s="10">
        <f>SALCE[[#This Row],[Net_Sales]]-SALCE[[#This Row],[Cost_Price]]</f>
        <v>967.61599999999999</v>
      </c>
      <c r="Q422" s="10">
        <f>SALCE[[#This Row],[Gross_Sales]]-SALCE[[#This Row],[Discount_Value]]</f>
        <v>5440</v>
      </c>
      <c r="R422" s="15" t="s">
        <v>57</v>
      </c>
      <c r="S422" s="15" t="s">
        <v>37</v>
      </c>
      <c r="T422" s="15" t="s">
        <v>22</v>
      </c>
    </row>
    <row r="423" spans="1:20" s="12" customFormat="1" ht="30" customHeight="1" thickTop="1" thickBot="1" x14ac:dyDescent="0.4">
      <c r="A423" s="7">
        <v>1422</v>
      </c>
      <c r="B423" s="8">
        <v>45714</v>
      </c>
      <c r="C423" s="14" t="s">
        <v>23</v>
      </c>
      <c r="D423" s="14" t="s">
        <v>24</v>
      </c>
      <c r="E423" s="14" t="s">
        <v>19</v>
      </c>
      <c r="F423" s="14" t="s">
        <v>20</v>
      </c>
      <c r="G423" s="7">
        <v>10</v>
      </c>
      <c r="H423" s="7">
        <v>300</v>
      </c>
      <c r="I423" s="9">
        <v>15</v>
      </c>
      <c r="J423" s="10">
        <f>SALCE[[#This Row],[After_Discount]]*SALCE[[#This Row],[Tax_%]]/100</f>
        <v>3.5700000000000007</v>
      </c>
      <c r="K423" s="11">
        <v>0.14000000000000001</v>
      </c>
      <c r="L423" s="10">
        <f>SALCE[[#This Row],[Quantity]]*SALCE[[#This Row],[Unit_Price]]</f>
        <v>3000</v>
      </c>
      <c r="M423" s="10">
        <f>SALCE[[#This Row],[Gross_Sales]]*SALCE[[#This Row],[Discount_%]]/100</f>
        <v>450</v>
      </c>
      <c r="N423" s="10">
        <f>SALCE[[#This Row],[After_Discount]]+SALCE[[#This Row],[Tax_Value]]</f>
        <v>2553.5700000000002</v>
      </c>
      <c r="O423" s="10">
        <f>SALCE[[#This Row],[Gross_Sales]]*70%</f>
        <v>2100</v>
      </c>
      <c r="P423" s="10">
        <f>SALCE[[#This Row],[Net_Sales]]-SALCE[[#This Row],[Cost_Price]]</f>
        <v>453.57000000000016</v>
      </c>
      <c r="Q423" s="10">
        <f>SALCE[[#This Row],[Gross_Sales]]-SALCE[[#This Row],[Discount_Value]]</f>
        <v>2550</v>
      </c>
      <c r="R423" s="15" t="s">
        <v>49</v>
      </c>
      <c r="S423" s="15" t="s">
        <v>21</v>
      </c>
      <c r="T423" s="15" t="s">
        <v>22</v>
      </c>
    </row>
    <row r="424" spans="1:20" s="12" customFormat="1" ht="30" customHeight="1" thickTop="1" thickBot="1" x14ac:dyDescent="0.4">
      <c r="A424" s="7">
        <v>1423</v>
      </c>
      <c r="B424" s="8">
        <v>45715</v>
      </c>
      <c r="C424" s="14" t="s">
        <v>30</v>
      </c>
      <c r="D424" s="14" t="s">
        <v>24</v>
      </c>
      <c r="E424" s="14" t="s">
        <v>40</v>
      </c>
      <c r="F424" s="14" t="s">
        <v>20</v>
      </c>
      <c r="G424" s="7">
        <v>5</v>
      </c>
      <c r="H424" s="7">
        <v>800</v>
      </c>
      <c r="I424" s="9">
        <v>5</v>
      </c>
      <c r="J424" s="10">
        <f>SALCE[[#This Row],[After_Discount]]*SALCE[[#This Row],[Tax_%]]/100</f>
        <v>5.32</v>
      </c>
      <c r="K424" s="11">
        <v>0.14000000000000001</v>
      </c>
      <c r="L424" s="10">
        <f>SALCE[[#This Row],[Quantity]]*SALCE[[#This Row],[Unit_Price]]</f>
        <v>4000</v>
      </c>
      <c r="M424" s="10">
        <f>SALCE[[#This Row],[Gross_Sales]]*SALCE[[#This Row],[Discount_%]]/100</f>
        <v>200</v>
      </c>
      <c r="N424" s="10">
        <f>SALCE[[#This Row],[After_Discount]]+SALCE[[#This Row],[Tax_Value]]</f>
        <v>3805.32</v>
      </c>
      <c r="O424" s="10">
        <f>SALCE[[#This Row],[Gross_Sales]]*70%</f>
        <v>2800</v>
      </c>
      <c r="P424" s="10">
        <f>SALCE[[#This Row],[Net_Sales]]-SALCE[[#This Row],[Cost_Price]]</f>
        <v>1005.3200000000002</v>
      </c>
      <c r="Q424" s="10">
        <f>SALCE[[#This Row],[Gross_Sales]]-SALCE[[#This Row],[Discount_Value]]</f>
        <v>3800</v>
      </c>
      <c r="R424" s="15" t="s">
        <v>54</v>
      </c>
      <c r="S424" s="15" t="s">
        <v>26</v>
      </c>
      <c r="T424" s="15" t="s">
        <v>22</v>
      </c>
    </row>
    <row r="425" spans="1:20" s="12" customFormat="1" ht="30" customHeight="1" thickTop="1" thickBot="1" x14ac:dyDescent="0.4">
      <c r="A425" s="7">
        <v>1424</v>
      </c>
      <c r="B425" s="8">
        <v>45716</v>
      </c>
      <c r="C425" s="14" t="s">
        <v>23</v>
      </c>
      <c r="D425" s="14" t="s">
        <v>36</v>
      </c>
      <c r="E425" s="14" t="s">
        <v>33</v>
      </c>
      <c r="F425" s="14" t="s">
        <v>32</v>
      </c>
      <c r="G425" s="7">
        <v>8</v>
      </c>
      <c r="H425" s="7">
        <v>6000</v>
      </c>
      <c r="I425" s="9">
        <v>15</v>
      </c>
      <c r="J425" s="10">
        <f>SALCE[[#This Row],[After_Discount]]*SALCE[[#This Row],[Tax_%]]/100</f>
        <v>57.120000000000012</v>
      </c>
      <c r="K425" s="11">
        <v>0.14000000000000001</v>
      </c>
      <c r="L425" s="10">
        <f>SALCE[[#This Row],[Quantity]]*SALCE[[#This Row],[Unit_Price]]</f>
        <v>48000</v>
      </c>
      <c r="M425" s="10">
        <f>SALCE[[#This Row],[Gross_Sales]]*SALCE[[#This Row],[Discount_%]]/100</f>
        <v>7200</v>
      </c>
      <c r="N425" s="10">
        <f>SALCE[[#This Row],[After_Discount]]+SALCE[[#This Row],[Tax_Value]]</f>
        <v>40857.120000000003</v>
      </c>
      <c r="O425" s="10">
        <f>SALCE[[#This Row],[Gross_Sales]]*70%</f>
        <v>33600</v>
      </c>
      <c r="P425" s="10">
        <f>SALCE[[#This Row],[Net_Sales]]-SALCE[[#This Row],[Cost_Price]]</f>
        <v>7257.1200000000026</v>
      </c>
      <c r="Q425" s="10">
        <f>SALCE[[#This Row],[Gross_Sales]]-SALCE[[#This Row],[Discount_Value]]</f>
        <v>40800</v>
      </c>
      <c r="R425" s="15" t="s">
        <v>50</v>
      </c>
      <c r="S425" s="15" t="s">
        <v>21</v>
      </c>
      <c r="T425" s="15" t="s">
        <v>22</v>
      </c>
    </row>
    <row r="426" spans="1:20" s="12" customFormat="1" ht="30" customHeight="1" thickTop="1" thickBot="1" x14ac:dyDescent="0.4">
      <c r="A426" s="7">
        <v>1425</v>
      </c>
      <c r="B426" s="8">
        <v>45717</v>
      </c>
      <c r="C426" s="14" t="s">
        <v>39</v>
      </c>
      <c r="D426" s="14" t="s">
        <v>24</v>
      </c>
      <c r="E426" s="14" t="s">
        <v>25</v>
      </c>
      <c r="F426" s="14" t="s">
        <v>20</v>
      </c>
      <c r="G426" s="7">
        <v>1</v>
      </c>
      <c r="H426" s="7">
        <v>500</v>
      </c>
      <c r="I426" s="9">
        <v>5</v>
      </c>
      <c r="J426" s="10">
        <f>SALCE[[#This Row],[After_Discount]]*SALCE[[#This Row],[Tax_%]]/100</f>
        <v>0.66500000000000004</v>
      </c>
      <c r="K426" s="11">
        <v>0.14000000000000001</v>
      </c>
      <c r="L426" s="10">
        <f>SALCE[[#This Row],[Quantity]]*SALCE[[#This Row],[Unit_Price]]</f>
        <v>500</v>
      </c>
      <c r="M426" s="10">
        <f>SALCE[[#This Row],[Gross_Sales]]*SALCE[[#This Row],[Discount_%]]/100</f>
        <v>25</v>
      </c>
      <c r="N426" s="10">
        <f>SALCE[[#This Row],[After_Discount]]+SALCE[[#This Row],[Tax_Value]]</f>
        <v>475.66500000000002</v>
      </c>
      <c r="O426" s="10">
        <f>SALCE[[#This Row],[Gross_Sales]]*70%</f>
        <v>350</v>
      </c>
      <c r="P426" s="10">
        <f>SALCE[[#This Row],[Net_Sales]]-SALCE[[#This Row],[Cost_Price]]</f>
        <v>125.66500000000002</v>
      </c>
      <c r="Q426" s="10">
        <f>SALCE[[#This Row],[Gross_Sales]]-SALCE[[#This Row],[Discount_Value]]</f>
        <v>475</v>
      </c>
      <c r="R426" s="15" t="s">
        <v>50</v>
      </c>
      <c r="S426" s="15" t="s">
        <v>21</v>
      </c>
      <c r="T426" s="15" t="s">
        <v>22</v>
      </c>
    </row>
    <row r="427" spans="1:20" s="12" customFormat="1" ht="30" customHeight="1" thickTop="1" thickBot="1" x14ac:dyDescent="0.4">
      <c r="A427" s="7">
        <v>1426</v>
      </c>
      <c r="B427" s="8">
        <v>45718</v>
      </c>
      <c r="C427" s="14" t="s">
        <v>23</v>
      </c>
      <c r="D427" s="14" t="s">
        <v>18</v>
      </c>
      <c r="E427" s="14" t="s">
        <v>25</v>
      </c>
      <c r="F427" s="14" t="s">
        <v>20</v>
      </c>
      <c r="G427" s="7">
        <v>5</v>
      </c>
      <c r="H427" s="7">
        <v>500</v>
      </c>
      <c r="I427" s="9">
        <v>0</v>
      </c>
      <c r="J427" s="10">
        <f>SALCE[[#This Row],[After_Discount]]*SALCE[[#This Row],[Tax_%]]/100</f>
        <v>3.5000000000000004</v>
      </c>
      <c r="K427" s="11">
        <v>0.14000000000000001</v>
      </c>
      <c r="L427" s="10">
        <f>SALCE[[#This Row],[Quantity]]*SALCE[[#This Row],[Unit_Price]]</f>
        <v>2500</v>
      </c>
      <c r="M427" s="10">
        <f>SALCE[[#This Row],[Gross_Sales]]*SALCE[[#This Row],[Discount_%]]/100</f>
        <v>0</v>
      </c>
      <c r="N427" s="10">
        <f>SALCE[[#This Row],[After_Discount]]+SALCE[[#This Row],[Tax_Value]]</f>
        <v>2503.5</v>
      </c>
      <c r="O427" s="10">
        <f>SALCE[[#This Row],[Gross_Sales]]*70%</f>
        <v>1750</v>
      </c>
      <c r="P427" s="10">
        <f>SALCE[[#This Row],[Net_Sales]]-SALCE[[#This Row],[Cost_Price]]</f>
        <v>753.5</v>
      </c>
      <c r="Q427" s="10">
        <f>SALCE[[#This Row],[Gross_Sales]]-SALCE[[#This Row],[Discount_Value]]</f>
        <v>2500</v>
      </c>
      <c r="R427" s="15" t="s">
        <v>59</v>
      </c>
      <c r="S427" s="15" t="s">
        <v>37</v>
      </c>
      <c r="T427" s="15" t="s">
        <v>27</v>
      </c>
    </row>
    <row r="428" spans="1:20" s="12" customFormat="1" ht="30" customHeight="1" thickTop="1" thickBot="1" x14ac:dyDescent="0.4">
      <c r="A428" s="7">
        <v>1427</v>
      </c>
      <c r="B428" s="8">
        <v>45719</v>
      </c>
      <c r="C428" s="14" t="s">
        <v>39</v>
      </c>
      <c r="D428" s="14" t="s">
        <v>24</v>
      </c>
      <c r="E428" s="14" t="s">
        <v>19</v>
      </c>
      <c r="F428" s="14" t="s">
        <v>20</v>
      </c>
      <c r="G428" s="7">
        <v>3</v>
      </c>
      <c r="H428" s="7">
        <v>300</v>
      </c>
      <c r="I428" s="9">
        <v>10</v>
      </c>
      <c r="J428" s="10">
        <f>SALCE[[#This Row],[After_Discount]]*SALCE[[#This Row],[Tax_%]]/100</f>
        <v>1.1340000000000001</v>
      </c>
      <c r="K428" s="11">
        <v>0.14000000000000001</v>
      </c>
      <c r="L428" s="10">
        <f>SALCE[[#This Row],[Quantity]]*SALCE[[#This Row],[Unit_Price]]</f>
        <v>900</v>
      </c>
      <c r="M428" s="10">
        <f>SALCE[[#This Row],[Gross_Sales]]*SALCE[[#This Row],[Discount_%]]/100</f>
        <v>90</v>
      </c>
      <c r="N428" s="10">
        <f>SALCE[[#This Row],[After_Discount]]+SALCE[[#This Row],[Tax_Value]]</f>
        <v>811.13400000000001</v>
      </c>
      <c r="O428" s="10">
        <f>SALCE[[#This Row],[Gross_Sales]]*70%</f>
        <v>630</v>
      </c>
      <c r="P428" s="10">
        <f>SALCE[[#This Row],[Net_Sales]]-SALCE[[#This Row],[Cost_Price]]</f>
        <v>181.13400000000001</v>
      </c>
      <c r="Q428" s="10">
        <f>SALCE[[#This Row],[Gross_Sales]]-SALCE[[#This Row],[Discount_Value]]</f>
        <v>810</v>
      </c>
      <c r="R428" s="15" t="s">
        <v>56</v>
      </c>
      <c r="S428" s="15" t="s">
        <v>37</v>
      </c>
      <c r="T428" s="15" t="s">
        <v>22</v>
      </c>
    </row>
    <row r="429" spans="1:20" s="12" customFormat="1" ht="30" customHeight="1" thickTop="1" thickBot="1" x14ac:dyDescent="0.4">
      <c r="A429" s="7">
        <v>1428</v>
      </c>
      <c r="B429" s="8">
        <v>45720</v>
      </c>
      <c r="C429" s="14" t="s">
        <v>35</v>
      </c>
      <c r="D429" s="14" t="s">
        <v>18</v>
      </c>
      <c r="E429" s="14" t="s">
        <v>33</v>
      </c>
      <c r="F429" s="14" t="s">
        <v>32</v>
      </c>
      <c r="G429" s="7">
        <v>4</v>
      </c>
      <c r="H429" s="7">
        <v>6000</v>
      </c>
      <c r="I429" s="9">
        <v>15</v>
      </c>
      <c r="J429" s="10">
        <f>SALCE[[#This Row],[After_Discount]]*SALCE[[#This Row],[Tax_%]]/100</f>
        <v>28.560000000000006</v>
      </c>
      <c r="K429" s="11">
        <v>0.14000000000000001</v>
      </c>
      <c r="L429" s="10">
        <f>SALCE[[#This Row],[Quantity]]*SALCE[[#This Row],[Unit_Price]]</f>
        <v>24000</v>
      </c>
      <c r="M429" s="10">
        <f>SALCE[[#This Row],[Gross_Sales]]*SALCE[[#This Row],[Discount_%]]/100</f>
        <v>3600</v>
      </c>
      <c r="N429" s="10">
        <f>SALCE[[#This Row],[After_Discount]]+SALCE[[#This Row],[Tax_Value]]</f>
        <v>20428.560000000001</v>
      </c>
      <c r="O429" s="10">
        <f>SALCE[[#This Row],[Gross_Sales]]*70%</f>
        <v>16800</v>
      </c>
      <c r="P429" s="10">
        <f>SALCE[[#This Row],[Net_Sales]]-SALCE[[#This Row],[Cost_Price]]</f>
        <v>3628.5600000000013</v>
      </c>
      <c r="Q429" s="10">
        <f>SALCE[[#This Row],[Gross_Sales]]-SALCE[[#This Row],[Discount_Value]]</f>
        <v>20400</v>
      </c>
      <c r="R429" s="15" t="s">
        <v>56</v>
      </c>
      <c r="S429" s="15" t="s">
        <v>37</v>
      </c>
      <c r="T429" s="15" t="s">
        <v>27</v>
      </c>
    </row>
    <row r="430" spans="1:20" s="12" customFormat="1" ht="30" customHeight="1" thickTop="1" thickBot="1" x14ac:dyDescent="0.4">
      <c r="A430" s="7">
        <v>1429</v>
      </c>
      <c r="B430" s="8">
        <v>45721</v>
      </c>
      <c r="C430" s="14" t="s">
        <v>39</v>
      </c>
      <c r="D430" s="14" t="s">
        <v>29</v>
      </c>
      <c r="E430" s="14" t="s">
        <v>19</v>
      </c>
      <c r="F430" s="14" t="s">
        <v>20</v>
      </c>
      <c r="G430" s="7">
        <v>6</v>
      </c>
      <c r="H430" s="7">
        <v>300</v>
      </c>
      <c r="I430" s="9">
        <v>5</v>
      </c>
      <c r="J430" s="10">
        <f>SALCE[[#This Row],[After_Discount]]*SALCE[[#This Row],[Tax_%]]/100</f>
        <v>2.3940000000000001</v>
      </c>
      <c r="K430" s="11">
        <v>0.14000000000000001</v>
      </c>
      <c r="L430" s="10">
        <f>SALCE[[#This Row],[Quantity]]*SALCE[[#This Row],[Unit_Price]]</f>
        <v>1800</v>
      </c>
      <c r="M430" s="10">
        <f>SALCE[[#This Row],[Gross_Sales]]*SALCE[[#This Row],[Discount_%]]/100</f>
        <v>90</v>
      </c>
      <c r="N430" s="10">
        <f>SALCE[[#This Row],[After_Discount]]+SALCE[[#This Row],[Tax_Value]]</f>
        <v>1712.394</v>
      </c>
      <c r="O430" s="10">
        <f>SALCE[[#This Row],[Gross_Sales]]*70%</f>
        <v>1260</v>
      </c>
      <c r="P430" s="10">
        <f>SALCE[[#This Row],[Net_Sales]]-SALCE[[#This Row],[Cost_Price]]</f>
        <v>452.39400000000001</v>
      </c>
      <c r="Q430" s="10">
        <f>SALCE[[#This Row],[Gross_Sales]]-SALCE[[#This Row],[Discount_Value]]</f>
        <v>1710</v>
      </c>
      <c r="R430" s="15" t="s">
        <v>51</v>
      </c>
      <c r="S430" s="15" t="s">
        <v>37</v>
      </c>
      <c r="T430" s="15" t="s">
        <v>27</v>
      </c>
    </row>
    <row r="431" spans="1:20" s="12" customFormat="1" ht="30" customHeight="1" thickTop="1" thickBot="1" x14ac:dyDescent="0.4">
      <c r="A431" s="7">
        <v>1430</v>
      </c>
      <c r="B431" s="8">
        <v>45722</v>
      </c>
      <c r="C431" s="14" t="s">
        <v>39</v>
      </c>
      <c r="D431" s="14" t="s">
        <v>24</v>
      </c>
      <c r="E431" s="14" t="s">
        <v>19</v>
      </c>
      <c r="F431" s="14" t="s">
        <v>20</v>
      </c>
      <c r="G431" s="7">
        <v>6</v>
      </c>
      <c r="H431" s="7">
        <v>300</v>
      </c>
      <c r="I431" s="9">
        <v>15</v>
      </c>
      <c r="J431" s="10">
        <f>SALCE[[#This Row],[After_Discount]]*SALCE[[#This Row],[Tax_%]]/100</f>
        <v>2.1420000000000003</v>
      </c>
      <c r="K431" s="11">
        <v>0.14000000000000001</v>
      </c>
      <c r="L431" s="10">
        <f>SALCE[[#This Row],[Quantity]]*SALCE[[#This Row],[Unit_Price]]</f>
        <v>1800</v>
      </c>
      <c r="M431" s="10">
        <f>SALCE[[#This Row],[Gross_Sales]]*SALCE[[#This Row],[Discount_%]]/100</f>
        <v>270</v>
      </c>
      <c r="N431" s="10">
        <f>SALCE[[#This Row],[After_Discount]]+SALCE[[#This Row],[Tax_Value]]</f>
        <v>1532.1420000000001</v>
      </c>
      <c r="O431" s="10">
        <f>SALCE[[#This Row],[Gross_Sales]]*70%</f>
        <v>1260</v>
      </c>
      <c r="P431" s="10">
        <f>SALCE[[#This Row],[Net_Sales]]-SALCE[[#This Row],[Cost_Price]]</f>
        <v>272.14200000000005</v>
      </c>
      <c r="Q431" s="10">
        <f>SALCE[[#This Row],[Gross_Sales]]-SALCE[[#This Row],[Discount_Value]]</f>
        <v>1530</v>
      </c>
      <c r="R431" s="15" t="s">
        <v>59</v>
      </c>
      <c r="S431" s="15" t="s">
        <v>26</v>
      </c>
      <c r="T431" s="15" t="s">
        <v>22</v>
      </c>
    </row>
    <row r="432" spans="1:20" s="12" customFormat="1" ht="30" customHeight="1" thickTop="1" thickBot="1" x14ac:dyDescent="0.4">
      <c r="A432" s="7">
        <v>1431</v>
      </c>
      <c r="B432" s="8">
        <v>45723</v>
      </c>
      <c r="C432" s="14" t="s">
        <v>17</v>
      </c>
      <c r="D432" s="14" t="s">
        <v>41</v>
      </c>
      <c r="E432" s="14" t="s">
        <v>31</v>
      </c>
      <c r="F432" s="14" t="s">
        <v>32</v>
      </c>
      <c r="G432" s="7">
        <v>3</v>
      </c>
      <c r="H432" s="7">
        <v>15000</v>
      </c>
      <c r="I432" s="9">
        <v>0</v>
      </c>
      <c r="J432" s="10">
        <f>SALCE[[#This Row],[After_Discount]]*SALCE[[#This Row],[Tax_%]]/100</f>
        <v>63.000000000000007</v>
      </c>
      <c r="K432" s="11">
        <v>0.14000000000000001</v>
      </c>
      <c r="L432" s="10">
        <f>SALCE[[#This Row],[Quantity]]*SALCE[[#This Row],[Unit_Price]]</f>
        <v>45000</v>
      </c>
      <c r="M432" s="10">
        <f>SALCE[[#This Row],[Gross_Sales]]*SALCE[[#This Row],[Discount_%]]/100</f>
        <v>0</v>
      </c>
      <c r="N432" s="10">
        <f>SALCE[[#This Row],[After_Discount]]+SALCE[[#This Row],[Tax_Value]]</f>
        <v>45063</v>
      </c>
      <c r="O432" s="10">
        <f>SALCE[[#This Row],[Gross_Sales]]*70%</f>
        <v>31499.999999999996</v>
      </c>
      <c r="P432" s="10">
        <f>SALCE[[#This Row],[Net_Sales]]-SALCE[[#This Row],[Cost_Price]]</f>
        <v>13563.000000000004</v>
      </c>
      <c r="Q432" s="10">
        <f>SALCE[[#This Row],[Gross_Sales]]-SALCE[[#This Row],[Discount_Value]]</f>
        <v>45000</v>
      </c>
      <c r="R432" s="15" t="s">
        <v>52</v>
      </c>
      <c r="S432" s="15" t="s">
        <v>26</v>
      </c>
      <c r="T432" s="15" t="s">
        <v>22</v>
      </c>
    </row>
    <row r="433" spans="1:20" s="12" customFormat="1" ht="30" customHeight="1" thickTop="1" thickBot="1" x14ac:dyDescent="0.4">
      <c r="A433" s="7">
        <v>1432</v>
      </c>
      <c r="B433" s="8">
        <v>45724</v>
      </c>
      <c r="C433" s="14" t="s">
        <v>23</v>
      </c>
      <c r="D433" s="14" t="s">
        <v>18</v>
      </c>
      <c r="E433" s="14" t="s">
        <v>19</v>
      </c>
      <c r="F433" s="14" t="s">
        <v>20</v>
      </c>
      <c r="G433" s="7">
        <v>5</v>
      </c>
      <c r="H433" s="7">
        <v>300</v>
      </c>
      <c r="I433" s="9">
        <v>0</v>
      </c>
      <c r="J433" s="10">
        <f>SALCE[[#This Row],[After_Discount]]*SALCE[[#This Row],[Tax_%]]/100</f>
        <v>2.1</v>
      </c>
      <c r="K433" s="11">
        <v>0.14000000000000001</v>
      </c>
      <c r="L433" s="10">
        <f>SALCE[[#This Row],[Quantity]]*SALCE[[#This Row],[Unit_Price]]</f>
        <v>1500</v>
      </c>
      <c r="M433" s="10">
        <f>SALCE[[#This Row],[Gross_Sales]]*SALCE[[#This Row],[Discount_%]]/100</f>
        <v>0</v>
      </c>
      <c r="N433" s="10">
        <f>SALCE[[#This Row],[After_Discount]]+SALCE[[#This Row],[Tax_Value]]</f>
        <v>1502.1</v>
      </c>
      <c r="O433" s="10">
        <f>SALCE[[#This Row],[Gross_Sales]]*70%</f>
        <v>1050</v>
      </c>
      <c r="P433" s="10">
        <f>SALCE[[#This Row],[Net_Sales]]-SALCE[[#This Row],[Cost_Price]]</f>
        <v>452.09999999999991</v>
      </c>
      <c r="Q433" s="10">
        <f>SALCE[[#This Row],[Gross_Sales]]-SALCE[[#This Row],[Discount_Value]]</f>
        <v>1500</v>
      </c>
      <c r="R433" s="15" t="s">
        <v>49</v>
      </c>
      <c r="S433" s="15" t="s">
        <v>26</v>
      </c>
      <c r="T433" s="15" t="s">
        <v>22</v>
      </c>
    </row>
    <row r="434" spans="1:20" s="12" customFormat="1" ht="30" customHeight="1" thickTop="1" thickBot="1" x14ac:dyDescent="0.4">
      <c r="A434" s="7">
        <v>1433</v>
      </c>
      <c r="B434" s="8">
        <v>45725</v>
      </c>
      <c r="C434" s="14" t="s">
        <v>39</v>
      </c>
      <c r="D434" s="14" t="s">
        <v>38</v>
      </c>
      <c r="E434" s="14" t="s">
        <v>40</v>
      </c>
      <c r="F434" s="14" t="s">
        <v>20</v>
      </c>
      <c r="G434" s="7">
        <v>4</v>
      </c>
      <c r="H434" s="7">
        <v>800</v>
      </c>
      <c r="I434" s="9">
        <v>15</v>
      </c>
      <c r="J434" s="10">
        <f>SALCE[[#This Row],[After_Discount]]*SALCE[[#This Row],[Tax_%]]/100</f>
        <v>3.8080000000000003</v>
      </c>
      <c r="K434" s="11">
        <v>0.14000000000000001</v>
      </c>
      <c r="L434" s="10">
        <f>SALCE[[#This Row],[Quantity]]*SALCE[[#This Row],[Unit_Price]]</f>
        <v>3200</v>
      </c>
      <c r="M434" s="10">
        <f>SALCE[[#This Row],[Gross_Sales]]*SALCE[[#This Row],[Discount_%]]/100</f>
        <v>480</v>
      </c>
      <c r="N434" s="10">
        <f>SALCE[[#This Row],[After_Discount]]+SALCE[[#This Row],[Tax_Value]]</f>
        <v>2723.808</v>
      </c>
      <c r="O434" s="10">
        <f>SALCE[[#This Row],[Gross_Sales]]*70%</f>
        <v>2240</v>
      </c>
      <c r="P434" s="10">
        <f>SALCE[[#This Row],[Net_Sales]]-SALCE[[#This Row],[Cost_Price]]</f>
        <v>483.80799999999999</v>
      </c>
      <c r="Q434" s="10">
        <f>SALCE[[#This Row],[Gross_Sales]]-SALCE[[#This Row],[Discount_Value]]</f>
        <v>2720</v>
      </c>
      <c r="R434" s="15" t="s">
        <v>62</v>
      </c>
      <c r="S434" s="15" t="s">
        <v>21</v>
      </c>
      <c r="T434" s="15" t="s">
        <v>22</v>
      </c>
    </row>
    <row r="435" spans="1:20" s="12" customFormat="1" ht="30" customHeight="1" thickTop="1" thickBot="1" x14ac:dyDescent="0.4">
      <c r="A435" s="7">
        <v>1434</v>
      </c>
      <c r="B435" s="8">
        <v>45726</v>
      </c>
      <c r="C435" s="14" t="s">
        <v>28</v>
      </c>
      <c r="D435" s="14" t="s">
        <v>36</v>
      </c>
      <c r="E435" s="14" t="s">
        <v>34</v>
      </c>
      <c r="F435" s="14" t="s">
        <v>32</v>
      </c>
      <c r="G435" s="7">
        <v>8</v>
      </c>
      <c r="H435" s="7">
        <v>4000</v>
      </c>
      <c r="I435" s="9">
        <v>10</v>
      </c>
      <c r="J435" s="10">
        <f>SALCE[[#This Row],[After_Discount]]*SALCE[[#This Row],[Tax_%]]/100</f>
        <v>40.320000000000007</v>
      </c>
      <c r="K435" s="11">
        <v>0.14000000000000001</v>
      </c>
      <c r="L435" s="10">
        <f>SALCE[[#This Row],[Quantity]]*SALCE[[#This Row],[Unit_Price]]</f>
        <v>32000</v>
      </c>
      <c r="M435" s="10">
        <f>SALCE[[#This Row],[Gross_Sales]]*SALCE[[#This Row],[Discount_%]]/100</f>
        <v>3200</v>
      </c>
      <c r="N435" s="10">
        <f>SALCE[[#This Row],[After_Discount]]+SALCE[[#This Row],[Tax_Value]]</f>
        <v>28840.32</v>
      </c>
      <c r="O435" s="10">
        <f>SALCE[[#This Row],[Gross_Sales]]*70%</f>
        <v>22400</v>
      </c>
      <c r="P435" s="10">
        <f>SALCE[[#This Row],[Net_Sales]]-SALCE[[#This Row],[Cost_Price]]</f>
        <v>6440.32</v>
      </c>
      <c r="Q435" s="10">
        <f>SALCE[[#This Row],[Gross_Sales]]-SALCE[[#This Row],[Discount_Value]]</f>
        <v>28800</v>
      </c>
      <c r="R435" s="15" t="s">
        <v>59</v>
      </c>
      <c r="S435" s="15" t="s">
        <v>21</v>
      </c>
      <c r="T435" s="15" t="s">
        <v>22</v>
      </c>
    </row>
    <row r="436" spans="1:20" s="12" customFormat="1" ht="30" customHeight="1" thickTop="1" thickBot="1" x14ac:dyDescent="0.4">
      <c r="A436" s="7">
        <v>1435</v>
      </c>
      <c r="B436" s="8">
        <v>45727</v>
      </c>
      <c r="C436" s="14" t="s">
        <v>30</v>
      </c>
      <c r="D436" s="14" t="s">
        <v>29</v>
      </c>
      <c r="E436" s="14" t="s">
        <v>40</v>
      </c>
      <c r="F436" s="14" t="s">
        <v>20</v>
      </c>
      <c r="G436" s="7">
        <v>1</v>
      </c>
      <c r="H436" s="7">
        <v>800</v>
      </c>
      <c r="I436" s="9">
        <v>15</v>
      </c>
      <c r="J436" s="10">
        <f>SALCE[[#This Row],[After_Discount]]*SALCE[[#This Row],[Tax_%]]/100</f>
        <v>0.95200000000000007</v>
      </c>
      <c r="K436" s="11">
        <v>0.14000000000000001</v>
      </c>
      <c r="L436" s="10">
        <f>SALCE[[#This Row],[Quantity]]*SALCE[[#This Row],[Unit_Price]]</f>
        <v>800</v>
      </c>
      <c r="M436" s="10">
        <f>SALCE[[#This Row],[Gross_Sales]]*SALCE[[#This Row],[Discount_%]]/100</f>
        <v>120</v>
      </c>
      <c r="N436" s="10">
        <f>SALCE[[#This Row],[After_Discount]]+SALCE[[#This Row],[Tax_Value]]</f>
        <v>680.952</v>
      </c>
      <c r="O436" s="10">
        <f>SALCE[[#This Row],[Gross_Sales]]*70%</f>
        <v>560</v>
      </c>
      <c r="P436" s="10">
        <f>SALCE[[#This Row],[Net_Sales]]-SALCE[[#This Row],[Cost_Price]]</f>
        <v>120.952</v>
      </c>
      <c r="Q436" s="10">
        <f>SALCE[[#This Row],[Gross_Sales]]-SALCE[[#This Row],[Discount_Value]]</f>
        <v>680</v>
      </c>
      <c r="R436" s="15" t="s">
        <v>57</v>
      </c>
      <c r="S436" s="15" t="s">
        <v>37</v>
      </c>
      <c r="T436" s="15" t="s">
        <v>22</v>
      </c>
    </row>
    <row r="437" spans="1:20" s="12" customFormat="1" ht="30" customHeight="1" thickTop="1" thickBot="1" x14ac:dyDescent="0.4">
      <c r="A437" s="7">
        <v>1436</v>
      </c>
      <c r="B437" s="8">
        <v>45728</v>
      </c>
      <c r="C437" s="14" t="s">
        <v>35</v>
      </c>
      <c r="D437" s="14" t="s">
        <v>24</v>
      </c>
      <c r="E437" s="14" t="s">
        <v>19</v>
      </c>
      <c r="F437" s="14" t="s">
        <v>20</v>
      </c>
      <c r="G437" s="7">
        <v>5</v>
      </c>
      <c r="H437" s="7">
        <v>300</v>
      </c>
      <c r="I437" s="9">
        <v>15</v>
      </c>
      <c r="J437" s="10">
        <f>SALCE[[#This Row],[After_Discount]]*SALCE[[#This Row],[Tax_%]]/100</f>
        <v>1.7850000000000004</v>
      </c>
      <c r="K437" s="11">
        <v>0.14000000000000001</v>
      </c>
      <c r="L437" s="10">
        <f>SALCE[[#This Row],[Quantity]]*SALCE[[#This Row],[Unit_Price]]</f>
        <v>1500</v>
      </c>
      <c r="M437" s="10">
        <f>SALCE[[#This Row],[Gross_Sales]]*SALCE[[#This Row],[Discount_%]]/100</f>
        <v>225</v>
      </c>
      <c r="N437" s="10">
        <f>SALCE[[#This Row],[After_Discount]]+SALCE[[#This Row],[Tax_Value]]</f>
        <v>1276.7850000000001</v>
      </c>
      <c r="O437" s="10">
        <f>SALCE[[#This Row],[Gross_Sales]]*70%</f>
        <v>1050</v>
      </c>
      <c r="P437" s="10">
        <f>SALCE[[#This Row],[Net_Sales]]-SALCE[[#This Row],[Cost_Price]]</f>
        <v>226.78500000000008</v>
      </c>
      <c r="Q437" s="10">
        <f>SALCE[[#This Row],[Gross_Sales]]-SALCE[[#This Row],[Discount_Value]]</f>
        <v>1275</v>
      </c>
      <c r="R437" s="15" t="s">
        <v>57</v>
      </c>
      <c r="S437" s="15" t="s">
        <v>26</v>
      </c>
      <c r="T437" s="15" t="s">
        <v>22</v>
      </c>
    </row>
    <row r="438" spans="1:20" s="12" customFormat="1" ht="30" customHeight="1" thickTop="1" thickBot="1" x14ac:dyDescent="0.4">
      <c r="A438" s="7">
        <v>1437</v>
      </c>
      <c r="B438" s="8">
        <v>45729</v>
      </c>
      <c r="C438" s="14" t="s">
        <v>39</v>
      </c>
      <c r="D438" s="14" t="s">
        <v>18</v>
      </c>
      <c r="E438" s="14" t="s">
        <v>19</v>
      </c>
      <c r="F438" s="14" t="s">
        <v>20</v>
      </c>
      <c r="G438" s="7">
        <v>2</v>
      </c>
      <c r="H438" s="7">
        <v>300</v>
      </c>
      <c r="I438" s="9">
        <v>5</v>
      </c>
      <c r="J438" s="10">
        <f>SALCE[[#This Row],[After_Discount]]*SALCE[[#This Row],[Tax_%]]/100</f>
        <v>0.79800000000000015</v>
      </c>
      <c r="K438" s="11">
        <v>0.14000000000000001</v>
      </c>
      <c r="L438" s="10">
        <f>SALCE[[#This Row],[Quantity]]*SALCE[[#This Row],[Unit_Price]]</f>
        <v>600</v>
      </c>
      <c r="M438" s="10">
        <f>SALCE[[#This Row],[Gross_Sales]]*SALCE[[#This Row],[Discount_%]]/100</f>
        <v>30</v>
      </c>
      <c r="N438" s="10">
        <f>SALCE[[#This Row],[After_Discount]]+SALCE[[#This Row],[Tax_Value]]</f>
        <v>570.798</v>
      </c>
      <c r="O438" s="10">
        <f>SALCE[[#This Row],[Gross_Sales]]*70%</f>
        <v>420</v>
      </c>
      <c r="P438" s="10">
        <f>SALCE[[#This Row],[Net_Sales]]-SALCE[[#This Row],[Cost_Price]]</f>
        <v>150.798</v>
      </c>
      <c r="Q438" s="10">
        <f>SALCE[[#This Row],[Gross_Sales]]-SALCE[[#This Row],[Discount_Value]]</f>
        <v>570</v>
      </c>
      <c r="R438" s="15" t="s">
        <v>59</v>
      </c>
      <c r="S438" s="15" t="s">
        <v>21</v>
      </c>
      <c r="T438" s="15" t="s">
        <v>27</v>
      </c>
    </row>
    <row r="439" spans="1:20" s="12" customFormat="1" ht="30" customHeight="1" thickTop="1" thickBot="1" x14ac:dyDescent="0.4">
      <c r="A439" s="7">
        <v>1438</v>
      </c>
      <c r="B439" s="8">
        <v>45730</v>
      </c>
      <c r="C439" s="14" t="s">
        <v>39</v>
      </c>
      <c r="D439" s="14" t="s">
        <v>38</v>
      </c>
      <c r="E439" s="14" t="s">
        <v>40</v>
      </c>
      <c r="F439" s="14" t="s">
        <v>20</v>
      </c>
      <c r="G439" s="7">
        <v>9</v>
      </c>
      <c r="H439" s="7">
        <v>800</v>
      </c>
      <c r="I439" s="9">
        <v>15</v>
      </c>
      <c r="J439" s="10">
        <f>SALCE[[#This Row],[After_Discount]]*SALCE[[#This Row],[Tax_%]]/100</f>
        <v>8.5680000000000014</v>
      </c>
      <c r="K439" s="11">
        <v>0.14000000000000001</v>
      </c>
      <c r="L439" s="10">
        <f>SALCE[[#This Row],[Quantity]]*SALCE[[#This Row],[Unit_Price]]</f>
        <v>7200</v>
      </c>
      <c r="M439" s="10">
        <f>SALCE[[#This Row],[Gross_Sales]]*SALCE[[#This Row],[Discount_%]]/100</f>
        <v>1080</v>
      </c>
      <c r="N439" s="10">
        <f>SALCE[[#This Row],[After_Discount]]+SALCE[[#This Row],[Tax_Value]]</f>
        <v>6128.5680000000002</v>
      </c>
      <c r="O439" s="10">
        <f>SALCE[[#This Row],[Gross_Sales]]*70%</f>
        <v>5040</v>
      </c>
      <c r="P439" s="10">
        <f>SALCE[[#This Row],[Net_Sales]]-SALCE[[#This Row],[Cost_Price]]</f>
        <v>1088.5680000000002</v>
      </c>
      <c r="Q439" s="10">
        <f>SALCE[[#This Row],[Gross_Sales]]-SALCE[[#This Row],[Discount_Value]]</f>
        <v>6120</v>
      </c>
      <c r="R439" s="15" t="s">
        <v>57</v>
      </c>
      <c r="S439" s="15" t="s">
        <v>26</v>
      </c>
      <c r="T439" s="15" t="s">
        <v>22</v>
      </c>
    </row>
    <row r="440" spans="1:20" s="12" customFormat="1" ht="30" customHeight="1" thickTop="1" thickBot="1" x14ac:dyDescent="0.4">
      <c r="A440" s="7">
        <v>1439</v>
      </c>
      <c r="B440" s="8">
        <v>45731</v>
      </c>
      <c r="C440" s="14" t="s">
        <v>30</v>
      </c>
      <c r="D440" s="14" t="s">
        <v>18</v>
      </c>
      <c r="E440" s="14" t="s">
        <v>33</v>
      </c>
      <c r="F440" s="14" t="s">
        <v>32</v>
      </c>
      <c r="G440" s="7">
        <v>7</v>
      </c>
      <c r="H440" s="7">
        <v>6000</v>
      </c>
      <c r="I440" s="9">
        <v>5</v>
      </c>
      <c r="J440" s="10">
        <f>SALCE[[#This Row],[After_Discount]]*SALCE[[#This Row],[Tax_%]]/100</f>
        <v>55.860000000000007</v>
      </c>
      <c r="K440" s="11">
        <v>0.14000000000000001</v>
      </c>
      <c r="L440" s="10">
        <f>SALCE[[#This Row],[Quantity]]*SALCE[[#This Row],[Unit_Price]]</f>
        <v>42000</v>
      </c>
      <c r="M440" s="10">
        <f>SALCE[[#This Row],[Gross_Sales]]*SALCE[[#This Row],[Discount_%]]/100</f>
        <v>2100</v>
      </c>
      <c r="N440" s="10">
        <f>SALCE[[#This Row],[After_Discount]]+SALCE[[#This Row],[Tax_Value]]</f>
        <v>39955.86</v>
      </c>
      <c r="O440" s="10">
        <f>SALCE[[#This Row],[Gross_Sales]]*70%</f>
        <v>29399.999999999996</v>
      </c>
      <c r="P440" s="10">
        <f>SALCE[[#This Row],[Net_Sales]]-SALCE[[#This Row],[Cost_Price]]</f>
        <v>10555.860000000004</v>
      </c>
      <c r="Q440" s="10">
        <f>SALCE[[#This Row],[Gross_Sales]]-SALCE[[#This Row],[Discount_Value]]</f>
        <v>39900</v>
      </c>
      <c r="R440" s="15" t="s">
        <v>62</v>
      </c>
      <c r="S440" s="15" t="s">
        <v>26</v>
      </c>
      <c r="T440" s="15" t="s">
        <v>22</v>
      </c>
    </row>
    <row r="441" spans="1:20" s="12" customFormat="1" ht="30" customHeight="1" thickTop="1" thickBot="1" x14ac:dyDescent="0.4">
      <c r="A441" s="7">
        <v>1440</v>
      </c>
      <c r="B441" s="8">
        <v>45732</v>
      </c>
      <c r="C441" s="14" t="s">
        <v>35</v>
      </c>
      <c r="D441" s="14" t="s">
        <v>29</v>
      </c>
      <c r="E441" s="14" t="s">
        <v>25</v>
      </c>
      <c r="F441" s="14" t="s">
        <v>20</v>
      </c>
      <c r="G441" s="7">
        <v>7</v>
      </c>
      <c r="H441" s="7">
        <v>500</v>
      </c>
      <c r="I441" s="9">
        <v>0</v>
      </c>
      <c r="J441" s="10">
        <f>SALCE[[#This Row],[After_Discount]]*SALCE[[#This Row],[Tax_%]]/100</f>
        <v>4.9000000000000004</v>
      </c>
      <c r="K441" s="11">
        <v>0.14000000000000001</v>
      </c>
      <c r="L441" s="10">
        <f>SALCE[[#This Row],[Quantity]]*SALCE[[#This Row],[Unit_Price]]</f>
        <v>3500</v>
      </c>
      <c r="M441" s="10">
        <f>SALCE[[#This Row],[Gross_Sales]]*SALCE[[#This Row],[Discount_%]]/100</f>
        <v>0</v>
      </c>
      <c r="N441" s="10">
        <f>SALCE[[#This Row],[After_Discount]]+SALCE[[#This Row],[Tax_Value]]</f>
        <v>3504.9</v>
      </c>
      <c r="O441" s="10">
        <f>SALCE[[#This Row],[Gross_Sales]]*70%</f>
        <v>2450</v>
      </c>
      <c r="P441" s="10">
        <f>SALCE[[#This Row],[Net_Sales]]-SALCE[[#This Row],[Cost_Price]]</f>
        <v>1054.9000000000001</v>
      </c>
      <c r="Q441" s="10">
        <f>SALCE[[#This Row],[Gross_Sales]]-SALCE[[#This Row],[Discount_Value]]</f>
        <v>3500</v>
      </c>
      <c r="R441" s="15" t="s">
        <v>54</v>
      </c>
      <c r="S441" s="15" t="s">
        <v>37</v>
      </c>
      <c r="T441" s="15" t="s">
        <v>22</v>
      </c>
    </row>
    <row r="442" spans="1:20" s="12" customFormat="1" ht="30" customHeight="1" thickTop="1" thickBot="1" x14ac:dyDescent="0.4">
      <c r="A442" s="7">
        <v>1441</v>
      </c>
      <c r="B442" s="8">
        <v>45733</v>
      </c>
      <c r="C442" s="14" t="s">
        <v>39</v>
      </c>
      <c r="D442" s="14" t="s">
        <v>36</v>
      </c>
      <c r="E442" s="14" t="s">
        <v>31</v>
      </c>
      <c r="F442" s="14" t="s">
        <v>32</v>
      </c>
      <c r="G442" s="7">
        <v>3</v>
      </c>
      <c r="H442" s="7">
        <v>15000</v>
      </c>
      <c r="I442" s="9">
        <v>15</v>
      </c>
      <c r="J442" s="10">
        <f>SALCE[[#This Row],[After_Discount]]*SALCE[[#This Row],[Tax_%]]/100</f>
        <v>53.550000000000011</v>
      </c>
      <c r="K442" s="11">
        <v>0.14000000000000001</v>
      </c>
      <c r="L442" s="10">
        <f>SALCE[[#This Row],[Quantity]]*SALCE[[#This Row],[Unit_Price]]</f>
        <v>45000</v>
      </c>
      <c r="M442" s="10">
        <f>SALCE[[#This Row],[Gross_Sales]]*SALCE[[#This Row],[Discount_%]]/100</f>
        <v>6750</v>
      </c>
      <c r="N442" s="10">
        <f>SALCE[[#This Row],[After_Discount]]+SALCE[[#This Row],[Tax_Value]]</f>
        <v>38303.550000000003</v>
      </c>
      <c r="O442" s="10">
        <f>SALCE[[#This Row],[Gross_Sales]]*70%</f>
        <v>31499.999999999996</v>
      </c>
      <c r="P442" s="10">
        <f>SALCE[[#This Row],[Net_Sales]]-SALCE[[#This Row],[Cost_Price]]</f>
        <v>6803.5500000000065</v>
      </c>
      <c r="Q442" s="10">
        <f>SALCE[[#This Row],[Gross_Sales]]-SALCE[[#This Row],[Discount_Value]]</f>
        <v>38250</v>
      </c>
      <c r="R442" s="15" t="s">
        <v>56</v>
      </c>
      <c r="S442" s="15" t="s">
        <v>37</v>
      </c>
      <c r="T442" s="15" t="s">
        <v>22</v>
      </c>
    </row>
    <row r="443" spans="1:20" s="12" customFormat="1" ht="30" customHeight="1" thickTop="1" thickBot="1" x14ac:dyDescent="0.4">
      <c r="A443" s="7">
        <v>1442</v>
      </c>
      <c r="B443" s="8">
        <v>45734</v>
      </c>
      <c r="C443" s="14" t="s">
        <v>23</v>
      </c>
      <c r="D443" s="14" t="s">
        <v>29</v>
      </c>
      <c r="E443" s="14" t="s">
        <v>40</v>
      </c>
      <c r="F443" s="14" t="s">
        <v>20</v>
      </c>
      <c r="G443" s="7">
        <v>5</v>
      </c>
      <c r="H443" s="7">
        <v>800</v>
      </c>
      <c r="I443" s="9">
        <v>10</v>
      </c>
      <c r="J443" s="10">
        <f>SALCE[[#This Row],[After_Discount]]*SALCE[[#This Row],[Tax_%]]/100</f>
        <v>5.0400000000000009</v>
      </c>
      <c r="K443" s="11">
        <v>0.14000000000000001</v>
      </c>
      <c r="L443" s="10">
        <f>SALCE[[#This Row],[Quantity]]*SALCE[[#This Row],[Unit_Price]]</f>
        <v>4000</v>
      </c>
      <c r="M443" s="10">
        <f>SALCE[[#This Row],[Gross_Sales]]*SALCE[[#This Row],[Discount_%]]/100</f>
        <v>400</v>
      </c>
      <c r="N443" s="10">
        <f>SALCE[[#This Row],[After_Discount]]+SALCE[[#This Row],[Tax_Value]]</f>
        <v>3605.04</v>
      </c>
      <c r="O443" s="10">
        <f>SALCE[[#This Row],[Gross_Sales]]*70%</f>
        <v>2800</v>
      </c>
      <c r="P443" s="10">
        <f>SALCE[[#This Row],[Net_Sales]]-SALCE[[#This Row],[Cost_Price]]</f>
        <v>805.04</v>
      </c>
      <c r="Q443" s="10">
        <f>SALCE[[#This Row],[Gross_Sales]]-SALCE[[#This Row],[Discount_Value]]</f>
        <v>3600</v>
      </c>
      <c r="R443" s="15" t="s">
        <v>58</v>
      </c>
      <c r="S443" s="15" t="s">
        <v>21</v>
      </c>
      <c r="T443" s="15" t="s">
        <v>27</v>
      </c>
    </row>
    <row r="444" spans="1:20" s="12" customFormat="1" ht="30" customHeight="1" thickTop="1" thickBot="1" x14ac:dyDescent="0.4">
      <c r="A444" s="7">
        <v>1443</v>
      </c>
      <c r="B444" s="8">
        <v>45735</v>
      </c>
      <c r="C444" s="14" t="s">
        <v>28</v>
      </c>
      <c r="D444" s="14" t="s">
        <v>24</v>
      </c>
      <c r="E444" s="14" t="s">
        <v>34</v>
      </c>
      <c r="F444" s="14" t="s">
        <v>32</v>
      </c>
      <c r="G444" s="7">
        <v>1</v>
      </c>
      <c r="H444" s="7">
        <v>4000</v>
      </c>
      <c r="I444" s="9">
        <v>15</v>
      </c>
      <c r="J444" s="10">
        <f>SALCE[[#This Row],[After_Discount]]*SALCE[[#This Row],[Tax_%]]/100</f>
        <v>4.7600000000000007</v>
      </c>
      <c r="K444" s="11">
        <v>0.14000000000000001</v>
      </c>
      <c r="L444" s="10">
        <f>SALCE[[#This Row],[Quantity]]*SALCE[[#This Row],[Unit_Price]]</f>
        <v>4000</v>
      </c>
      <c r="M444" s="10">
        <f>SALCE[[#This Row],[Gross_Sales]]*SALCE[[#This Row],[Discount_%]]/100</f>
        <v>600</v>
      </c>
      <c r="N444" s="10">
        <f>SALCE[[#This Row],[After_Discount]]+SALCE[[#This Row],[Tax_Value]]</f>
        <v>3404.76</v>
      </c>
      <c r="O444" s="10">
        <f>SALCE[[#This Row],[Gross_Sales]]*70%</f>
        <v>2800</v>
      </c>
      <c r="P444" s="10">
        <f>SALCE[[#This Row],[Net_Sales]]-SALCE[[#This Row],[Cost_Price]]</f>
        <v>604.76000000000022</v>
      </c>
      <c r="Q444" s="10">
        <f>SALCE[[#This Row],[Gross_Sales]]-SALCE[[#This Row],[Discount_Value]]</f>
        <v>3400</v>
      </c>
      <c r="R444" s="15" t="s">
        <v>61</v>
      </c>
      <c r="S444" s="15" t="s">
        <v>37</v>
      </c>
      <c r="T444" s="15" t="s">
        <v>22</v>
      </c>
    </row>
    <row r="445" spans="1:20" s="12" customFormat="1" ht="30" customHeight="1" thickTop="1" thickBot="1" x14ac:dyDescent="0.4">
      <c r="A445" s="7">
        <v>1444</v>
      </c>
      <c r="B445" s="8">
        <v>45736</v>
      </c>
      <c r="C445" s="14" t="s">
        <v>23</v>
      </c>
      <c r="D445" s="14" t="s">
        <v>38</v>
      </c>
      <c r="E445" s="14" t="s">
        <v>31</v>
      </c>
      <c r="F445" s="14" t="s">
        <v>32</v>
      </c>
      <c r="G445" s="7">
        <v>1</v>
      </c>
      <c r="H445" s="7">
        <v>15000</v>
      </c>
      <c r="I445" s="9">
        <v>10</v>
      </c>
      <c r="J445" s="10">
        <f>SALCE[[#This Row],[After_Discount]]*SALCE[[#This Row],[Tax_%]]/100</f>
        <v>18.900000000000002</v>
      </c>
      <c r="K445" s="11">
        <v>0.14000000000000001</v>
      </c>
      <c r="L445" s="10">
        <f>SALCE[[#This Row],[Quantity]]*SALCE[[#This Row],[Unit_Price]]</f>
        <v>15000</v>
      </c>
      <c r="M445" s="10">
        <f>SALCE[[#This Row],[Gross_Sales]]*SALCE[[#This Row],[Discount_%]]/100</f>
        <v>1500</v>
      </c>
      <c r="N445" s="10">
        <f>SALCE[[#This Row],[After_Discount]]+SALCE[[#This Row],[Tax_Value]]</f>
        <v>13518.9</v>
      </c>
      <c r="O445" s="10">
        <f>SALCE[[#This Row],[Gross_Sales]]*70%</f>
        <v>10500</v>
      </c>
      <c r="P445" s="10">
        <f>SALCE[[#This Row],[Net_Sales]]-SALCE[[#This Row],[Cost_Price]]</f>
        <v>3018.8999999999996</v>
      </c>
      <c r="Q445" s="10">
        <f>SALCE[[#This Row],[Gross_Sales]]-SALCE[[#This Row],[Discount_Value]]</f>
        <v>13500</v>
      </c>
      <c r="R445" s="15" t="s">
        <v>53</v>
      </c>
      <c r="S445" s="15" t="s">
        <v>37</v>
      </c>
      <c r="T445" s="15" t="s">
        <v>27</v>
      </c>
    </row>
    <row r="446" spans="1:20" s="12" customFormat="1" ht="30" customHeight="1" thickTop="1" thickBot="1" x14ac:dyDescent="0.4">
      <c r="A446" s="7">
        <v>1445</v>
      </c>
      <c r="B446" s="8">
        <v>45737</v>
      </c>
      <c r="C446" s="14" t="s">
        <v>17</v>
      </c>
      <c r="D446" s="14" t="s">
        <v>29</v>
      </c>
      <c r="E446" s="14" t="s">
        <v>33</v>
      </c>
      <c r="F446" s="14" t="s">
        <v>32</v>
      </c>
      <c r="G446" s="7">
        <v>2</v>
      </c>
      <c r="H446" s="7">
        <v>6000</v>
      </c>
      <c r="I446" s="9">
        <v>15</v>
      </c>
      <c r="J446" s="10">
        <f>SALCE[[#This Row],[After_Discount]]*SALCE[[#This Row],[Tax_%]]/100</f>
        <v>14.280000000000003</v>
      </c>
      <c r="K446" s="11">
        <v>0.14000000000000001</v>
      </c>
      <c r="L446" s="10">
        <f>SALCE[[#This Row],[Quantity]]*SALCE[[#This Row],[Unit_Price]]</f>
        <v>12000</v>
      </c>
      <c r="M446" s="10">
        <f>SALCE[[#This Row],[Gross_Sales]]*SALCE[[#This Row],[Discount_%]]/100</f>
        <v>1800</v>
      </c>
      <c r="N446" s="10">
        <f>SALCE[[#This Row],[After_Discount]]+SALCE[[#This Row],[Tax_Value]]</f>
        <v>10214.280000000001</v>
      </c>
      <c r="O446" s="10">
        <f>SALCE[[#This Row],[Gross_Sales]]*70%</f>
        <v>8400</v>
      </c>
      <c r="P446" s="10">
        <f>SALCE[[#This Row],[Net_Sales]]-SALCE[[#This Row],[Cost_Price]]</f>
        <v>1814.2800000000007</v>
      </c>
      <c r="Q446" s="10">
        <f>SALCE[[#This Row],[Gross_Sales]]-SALCE[[#This Row],[Discount_Value]]</f>
        <v>10200</v>
      </c>
      <c r="R446" s="15" t="s">
        <v>59</v>
      </c>
      <c r="S446" s="15" t="s">
        <v>26</v>
      </c>
      <c r="T446" s="15" t="s">
        <v>22</v>
      </c>
    </row>
    <row r="447" spans="1:20" s="12" customFormat="1" ht="30" customHeight="1" thickTop="1" thickBot="1" x14ac:dyDescent="0.4">
      <c r="A447" s="7">
        <v>1446</v>
      </c>
      <c r="B447" s="8">
        <v>45738</v>
      </c>
      <c r="C447" s="14" t="s">
        <v>28</v>
      </c>
      <c r="D447" s="14" t="s">
        <v>38</v>
      </c>
      <c r="E447" s="14" t="s">
        <v>19</v>
      </c>
      <c r="F447" s="14" t="s">
        <v>20</v>
      </c>
      <c r="G447" s="7">
        <v>7</v>
      </c>
      <c r="H447" s="7">
        <v>300</v>
      </c>
      <c r="I447" s="9">
        <v>10</v>
      </c>
      <c r="J447" s="10">
        <f>SALCE[[#This Row],[After_Discount]]*SALCE[[#This Row],[Tax_%]]/100</f>
        <v>2.6460000000000004</v>
      </c>
      <c r="K447" s="11">
        <v>0.14000000000000001</v>
      </c>
      <c r="L447" s="10">
        <f>SALCE[[#This Row],[Quantity]]*SALCE[[#This Row],[Unit_Price]]</f>
        <v>2100</v>
      </c>
      <c r="M447" s="10">
        <f>SALCE[[#This Row],[Gross_Sales]]*SALCE[[#This Row],[Discount_%]]/100</f>
        <v>210</v>
      </c>
      <c r="N447" s="10">
        <f>SALCE[[#This Row],[After_Discount]]+SALCE[[#This Row],[Tax_Value]]</f>
        <v>1892.646</v>
      </c>
      <c r="O447" s="10">
        <f>SALCE[[#This Row],[Gross_Sales]]*70%</f>
        <v>1470</v>
      </c>
      <c r="P447" s="10">
        <f>SALCE[[#This Row],[Net_Sales]]-SALCE[[#This Row],[Cost_Price]]</f>
        <v>422.64599999999996</v>
      </c>
      <c r="Q447" s="10">
        <f>SALCE[[#This Row],[Gross_Sales]]-SALCE[[#This Row],[Discount_Value]]</f>
        <v>1890</v>
      </c>
      <c r="R447" s="15" t="s">
        <v>49</v>
      </c>
      <c r="S447" s="15" t="s">
        <v>26</v>
      </c>
      <c r="T447" s="15" t="s">
        <v>22</v>
      </c>
    </row>
    <row r="448" spans="1:20" s="12" customFormat="1" ht="30" customHeight="1" thickTop="1" thickBot="1" x14ac:dyDescent="0.4">
      <c r="A448" s="7">
        <v>1447</v>
      </c>
      <c r="B448" s="8">
        <v>45739</v>
      </c>
      <c r="C448" s="14" t="s">
        <v>30</v>
      </c>
      <c r="D448" s="14" t="s">
        <v>41</v>
      </c>
      <c r="E448" s="14" t="s">
        <v>31</v>
      </c>
      <c r="F448" s="14" t="s">
        <v>32</v>
      </c>
      <c r="G448" s="7">
        <v>3</v>
      </c>
      <c r="H448" s="7">
        <v>15000</v>
      </c>
      <c r="I448" s="9">
        <v>0</v>
      </c>
      <c r="J448" s="10">
        <f>SALCE[[#This Row],[After_Discount]]*SALCE[[#This Row],[Tax_%]]/100</f>
        <v>63.000000000000007</v>
      </c>
      <c r="K448" s="11">
        <v>0.14000000000000001</v>
      </c>
      <c r="L448" s="10">
        <f>SALCE[[#This Row],[Quantity]]*SALCE[[#This Row],[Unit_Price]]</f>
        <v>45000</v>
      </c>
      <c r="M448" s="10">
        <f>SALCE[[#This Row],[Gross_Sales]]*SALCE[[#This Row],[Discount_%]]/100</f>
        <v>0</v>
      </c>
      <c r="N448" s="10">
        <f>SALCE[[#This Row],[After_Discount]]+SALCE[[#This Row],[Tax_Value]]</f>
        <v>45063</v>
      </c>
      <c r="O448" s="10">
        <f>SALCE[[#This Row],[Gross_Sales]]*70%</f>
        <v>31499.999999999996</v>
      </c>
      <c r="P448" s="10">
        <f>SALCE[[#This Row],[Net_Sales]]-SALCE[[#This Row],[Cost_Price]]</f>
        <v>13563.000000000004</v>
      </c>
      <c r="Q448" s="10">
        <f>SALCE[[#This Row],[Gross_Sales]]-SALCE[[#This Row],[Discount_Value]]</f>
        <v>45000</v>
      </c>
      <c r="R448" s="15" t="s">
        <v>60</v>
      </c>
      <c r="S448" s="15" t="s">
        <v>21</v>
      </c>
      <c r="T448" s="15" t="s">
        <v>22</v>
      </c>
    </row>
    <row r="449" spans="1:20" s="12" customFormat="1" ht="30" customHeight="1" thickTop="1" thickBot="1" x14ac:dyDescent="0.4">
      <c r="A449" s="7">
        <v>1448</v>
      </c>
      <c r="B449" s="8">
        <v>45740</v>
      </c>
      <c r="C449" s="14" t="s">
        <v>17</v>
      </c>
      <c r="D449" s="14" t="s">
        <v>41</v>
      </c>
      <c r="E449" s="14" t="s">
        <v>33</v>
      </c>
      <c r="F449" s="14" t="s">
        <v>32</v>
      </c>
      <c r="G449" s="7">
        <v>8</v>
      </c>
      <c r="H449" s="7">
        <v>6000</v>
      </c>
      <c r="I449" s="9">
        <v>5</v>
      </c>
      <c r="J449" s="10">
        <f>SALCE[[#This Row],[After_Discount]]*SALCE[[#This Row],[Tax_%]]/100</f>
        <v>63.840000000000011</v>
      </c>
      <c r="K449" s="11">
        <v>0.14000000000000001</v>
      </c>
      <c r="L449" s="10">
        <f>SALCE[[#This Row],[Quantity]]*SALCE[[#This Row],[Unit_Price]]</f>
        <v>48000</v>
      </c>
      <c r="M449" s="10">
        <f>SALCE[[#This Row],[Gross_Sales]]*SALCE[[#This Row],[Discount_%]]/100</f>
        <v>2400</v>
      </c>
      <c r="N449" s="10">
        <f>SALCE[[#This Row],[After_Discount]]+SALCE[[#This Row],[Tax_Value]]</f>
        <v>45663.839999999997</v>
      </c>
      <c r="O449" s="10">
        <f>SALCE[[#This Row],[Gross_Sales]]*70%</f>
        <v>33600</v>
      </c>
      <c r="P449" s="10">
        <f>SALCE[[#This Row],[Net_Sales]]-SALCE[[#This Row],[Cost_Price]]</f>
        <v>12063.839999999997</v>
      </c>
      <c r="Q449" s="10">
        <f>SALCE[[#This Row],[Gross_Sales]]-SALCE[[#This Row],[Discount_Value]]</f>
        <v>45600</v>
      </c>
      <c r="R449" s="15" t="s">
        <v>50</v>
      </c>
      <c r="S449" s="15" t="s">
        <v>26</v>
      </c>
      <c r="T449" s="15" t="s">
        <v>22</v>
      </c>
    </row>
    <row r="450" spans="1:20" s="12" customFormat="1" ht="30" customHeight="1" thickTop="1" thickBot="1" x14ac:dyDescent="0.4">
      <c r="A450" s="7">
        <v>1449</v>
      </c>
      <c r="B450" s="8">
        <v>45741</v>
      </c>
      <c r="C450" s="14" t="s">
        <v>23</v>
      </c>
      <c r="D450" s="14" t="s">
        <v>36</v>
      </c>
      <c r="E450" s="14" t="s">
        <v>40</v>
      </c>
      <c r="F450" s="14" t="s">
        <v>20</v>
      </c>
      <c r="G450" s="7">
        <v>7</v>
      </c>
      <c r="H450" s="7">
        <v>800</v>
      </c>
      <c r="I450" s="9">
        <v>10</v>
      </c>
      <c r="J450" s="10">
        <f>SALCE[[#This Row],[After_Discount]]*SALCE[[#This Row],[Tax_%]]/100</f>
        <v>7.056</v>
      </c>
      <c r="K450" s="11">
        <v>0.14000000000000001</v>
      </c>
      <c r="L450" s="10">
        <f>SALCE[[#This Row],[Quantity]]*SALCE[[#This Row],[Unit_Price]]</f>
        <v>5600</v>
      </c>
      <c r="M450" s="10">
        <f>SALCE[[#This Row],[Gross_Sales]]*SALCE[[#This Row],[Discount_%]]/100</f>
        <v>560</v>
      </c>
      <c r="N450" s="10">
        <f>SALCE[[#This Row],[After_Discount]]+SALCE[[#This Row],[Tax_Value]]</f>
        <v>5047.0559999999996</v>
      </c>
      <c r="O450" s="10">
        <f>SALCE[[#This Row],[Gross_Sales]]*70%</f>
        <v>3919.9999999999995</v>
      </c>
      <c r="P450" s="10">
        <f>SALCE[[#This Row],[Net_Sales]]-SALCE[[#This Row],[Cost_Price]]</f>
        <v>1127.056</v>
      </c>
      <c r="Q450" s="10">
        <f>SALCE[[#This Row],[Gross_Sales]]-SALCE[[#This Row],[Discount_Value]]</f>
        <v>5040</v>
      </c>
      <c r="R450" s="15" t="s">
        <v>49</v>
      </c>
      <c r="S450" s="15" t="s">
        <v>37</v>
      </c>
      <c r="T450" s="15" t="s">
        <v>27</v>
      </c>
    </row>
    <row r="451" spans="1:20" s="12" customFormat="1" ht="30" customHeight="1" thickTop="1" thickBot="1" x14ac:dyDescent="0.4">
      <c r="A451" s="7">
        <v>1450</v>
      </c>
      <c r="B451" s="8">
        <v>45742</v>
      </c>
      <c r="C451" s="14" t="s">
        <v>17</v>
      </c>
      <c r="D451" s="14" t="s">
        <v>38</v>
      </c>
      <c r="E451" s="14" t="s">
        <v>19</v>
      </c>
      <c r="F451" s="14" t="s">
        <v>20</v>
      </c>
      <c r="G451" s="7">
        <v>2</v>
      </c>
      <c r="H451" s="7">
        <v>300</v>
      </c>
      <c r="I451" s="9">
        <v>15</v>
      </c>
      <c r="J451" s="10">
        <f>SALCE[[#This Row],[After_Discount]]*SALCE[[#This Row],[Tax_%]]/100</f>
        <v>0.71400000000000008</v>
      </c>
      <c r="K451" s="11">
        <v>0.14000000000000001</v>
      </c>
      <c r="L451" s="10">
        <f>SALCE[[#This Row],[Quantity]]*SALCE[[#This Row],[Unit_Price]]</f>
        <v>600</v>
      </c>
      <c r="M451" s="10">
        <f>SALCE[[#This Row],[Gross_Sales]]*SALCE[[#This Row],[Discount_%]]/100</f>
        <v>90</v>
      </c>
      <c r="N451" s="10">
        <f>SALCE[[#This Row],[After_Discount]]+SALCE[[#This Row],[Tax_Value]]</f>
        <v>510.714</v>
      </c>
      <c r="O451" s="10">
        <f>SALCE[[#This Row],[Gross_Sales]]*70%</f>
        <v>420</v>
      </c>
      <c r="P451" s="10">
        <f>SALCE[[#This Row],[Net_Sales]]-SALCE[[#This Row],[Cost_Price]]</f>
        <v>90.713999999999999</v>
      </c>
      <c r="Q451" s="10">
        <f>SALCE[[#This Row],[Gross_Sales]]-SALCE[[#This Row],[Discount_Value]]</f>
        <v>510</v>
      </c>
      <c r="R451" s="15" t="s">
        <v>60</v>
      </c>
      <c r="S451" s="15" t="s">
        <v>21</v>
      </c>
      <c r="T451" s="15" t="s">
        <v>22</v>
      </c>
    </row>
    <row r="452" spans="1:20" s="12" customFormat="1" ht="30" customHeight="1" thickTop="1" thickBot="1" x14ac:dyDescent="0.4">
      <c r="A452" s="7">
        <v>1451</v>
      </c>
      <c r="B452" s="8">
        <v>45743</v>
      </c>
      <c r="C452" s="14" t="s">
        <v>23</v>
      </c>
      <c r="D452" s="14" t="s">
        <v>24</v>
      </c>
      <c r="E452" s="14" t="s">
        <v>34</v>
      </c>
      <c r="F452" s="14" t="s">
        <v>32</v>
      </c>
      <c r="G452" s="7">
        <v>2</v>
      </c>
      <c r="H452" s="7">
        <v>4000</v>
      </c>
      <c r="I452" s="9">
        <v>10</v>
      </c>
      <c r="J452" s="10">
        <f>SALCE[[#This Row],[After_Discount]]*SALCE[[#This Row],[Tax_%]]/100</f>
        <v>10.080000000000002</v>
      </c>
      <c r="K452" s="11">
        <v>0.14000000000000001</v>
      </c>
      <c r="L452" s="10">
        <f>SALCE[[#This Row],[Quantity]]*SALCE[[#This Row],[Unit_Price]]</f>
        <v>8000</v>
      </c>
      <c r="M452" s="10">
        <f>SALCE[[#This Row],[Gross_Sales]]*SALCE[[#This Row],[Discount_%]]/100</f>
        <v>800</v>
      </c>
      <c r="N452" s="10">
        <f>SALCE[[#This Row],[After_Discount]]+SALCE[[#This Row],[Tax_Value]]</f>
        <v>7210.08</v>
      </c>
      <c r="O452" s="10">
        <f>SALCE[[#This Row],[Gross_Sales]]*70%</f>
        <v>5600</v>
      </c>
      <c r="P452" s="10">
        <f>SALCE[[#This Row],[Net_Sales]]-SALCE[[#This Row],[Cost_Price]]</f>
        <v>1610.08</v>
      </c>
      <c r="Q452" s="10">
        <f>SALCE[[#This Row],[Gross_Sales]]-SALCE[[#This Row],[Discount_Value]]</f>
        <v>7200</v>
      </c>
      <c r="R452" s="15" t="s">
        <v>49</v>
      </c>
      <c r="S452" s="15" t="s">
        <v>21</v>
      </c>
      <c r="T452" s="15" t="s">
        <v>27</v>
      </c>
    </row>
    <row r="453" spans="1:20" s="12" customFormat="1" ht="30" customHeight="1" thickTop="1" thickBot="1" x14ac:dyDescent="0.4">
      <c r="A453" s="7">
        <v>1452</v>
      </c>
      <c r="B453" s="8">
        <v>45744</v>
      </c>
      <c r="C453" s="14" t="s">
        <v>23</v>
      </c>
      <c r="D453" s="14" t="s">
        <v>18</v>
      </c>
      <c r="E453" s="14" t="s">
        <v>25</v>
      </c>
      <c r="F453" s="14" t="s">
        <v>20</v>
      </c>
      <c r="G453" s="7">
        <v>5</v>
      </c>
      <c r="H453" s="7">
        <v>500</v>
      </c>
      <c r="I453" s="9">
        <v>10</v>
      </c>
      <c r="J453" s="10">
        <f>SALCE[[#This Row],[After_Discount]]*SALCE[[#This Row],[Tax_%]]/100</f>
        <v>3.1500000000000004</v>
      </c>
      <c r="K453" s="11">
        <v>0.14000000000000001</v>
      </c>
      <c r="L453" s="10">
        <f>SALCE[[#This Row],[Quantity]]*SALCE[[#This Row],[Unit_Price]]</f>
        <v>2500</v>
      </c>
      <c r="M453" s="10">
        <f>SALCE[[#This Row],[Gross_Sales]]*SALCE[[#This Row],[Discount_%]]/100</f>
        <v>250</v>
      </c>
      <c r="N453" s="10">
        <f>SALCE[[#This Row],[After_Discount]]+SALCE[[#This Row],[Tax_Value]]</f>
        <v>2253.15</v>
      </c>
      <c r="O453" s="10">
        <f>SALCE[[#This Row],[Gross_Sales]]*70%</f>
        <v>1750</v>
      </c>
      <c r="P453" s="10">
        <f>SALCE[[#This Row],[Net_Sales]]-SALCE[[#This Row],[Cost_Price]]</f>
        <v>503.15000000000009</v>
      </c>
      <c r="Q453" s="10">
        <f>SALCE[[#This Row],[Gross_Sales]]-SALCE[[#This Row],[Discount_Value]]</f>
        <v>2250</v>
      </c>
      <c r="R453" s="15" t="s">
        <v>61</v>
      </c>
      <c r="S453" s="15" t="s">
        <v>37</v>
      </c>
      <c r="T453" s="15" t="s">
        <v>27</v>
      </c>
    </row>
    <row r="454" spans="1:20" s="12" customFormat="1" ht="30" customHeight="1" thickTop="1" thickBot="1" x14ac:dyDescent="0.4">
      <c r="A454" s="7">
        <v>1453</v>
      </c>
      <c r="B454" s="8">
        <v>45745</v>
      </c>
      <c r="C454" s="14" t="s">
        <v>17</v>
      </c>
      <c r="D454" s="14" t="s">
        <v>41</v>
      </c>
      <c r="E454" s="14" t="s">
        <v>34</v>
      </c>
      <c r="F454" s="14" t="s">
        <v>32</v>
      </c>
      <c r="G454" s="7">
        <v>5</v>
      </c>
      <c r="H454" s="7">
        <v>4000</v>
      </c>
      <c r="I454" s="9">
        <v>5</v>
      </c>
      <c r="J454" s="10">
        <f>SALCE[[#This Row],[After_Discount]]*SALCE[[#This Row],[Tax_%]]/100</f>
        <v>26.600000000000005</v>
      </c>
      <c r="K454" s="11">
        <v>0.14000000000000001</v>
      </c>
      <c r="L454" s="10">
        <f>SALCE[[#This Row],[Quantity]]*SALCE[[#This Row],[Unit_Price]]</f>
        <v>20000</v>
      </c>
      <c r="M454" s="10">
        <f>SALCE[[#This Row],[Gross_Sales]]*SALCE[[#This Row],[Discount_%]]/100</f>
        <v>1000</v>
      </c>
      <c r="N454" s="10">
        <f>SALCE[[#This Row],[After_Discount]]+SALCE[[#This Row],[Tax_Value]]</f>
        <v>19026.599999999999</v>
      </c>
      <c r="O454" s="10">
        <f>SALCE[[#This Row],[Gross_Sales]]*70%</f>
        <v>14000</v>
      </c>
      <c r="P454" s="10">
        <f>SALCE[[#This Row],[Net_Sales]]-SALCE[[#This Row],[Cost_Price]]</f>
        <v>5026.5999999999985</v>
      </c>
      <c r="Q454" s="10">
        <f>SALCE[[#This Row],[Gross_Sales]]-SALCE[[#This Row],[Discount_Value]]</f>
        <v>19000</v>
      </c>
      <c r="R454" s="15" t="s">
        <v>59</v>
      </c>
      <c r="S454" s="15" t="s">
        <v>26</v>
      </c>
      <c r="T454" s="15" t="s">
        <v>27</v>
      </c>
    </row>
    <row r="455" spans="1:20" s="12" customFormat="1" ht="30" customHeight="1" thickTop="1" thickBot="1" x14ac:dyDescent="0.4">
      <c r="A455" s="7">
        <v>1454</v>
      </c>
      <c r="B455" s="8">
        <v>45746</v>
      </c>
      <c r="C455" s="14" t="s">
        <v>23</v>
      </c>
      <c r="D455" s="14" t="s">
        <v>38</v>
      </c>
      <c r="E455" s="14" t="s">
        <v>25</v>
      </c>
      <c r="F455" s="14" t="s">
        <v>20</v>
      </c>
      <c r="G455" s="7">
        <v>5</v>
      </c>
      <c r="H455" s="7">
        <v>500</v>
      </c>
      <c r="I455" s="9">
        <v>15</v>
      </c>
      <c r="J455" s="10">
        <f>SALCE[[#This Row],[After_Discount]]*SALCE[[#This Row],[Tax_%]]/100</f>
        <v>2.9750000000000001</v>
      </c>
      <c r="K455" s="11">
        <v>0.14000000000000001</v>
      </c>
      <c r="L455" s="10">
        <f>SALCE[[#This Row],[Quantity]]*SALCE[[#This Row],[Unit_Price]]</f>
        <v>2500</v>
      </c>
      <c r="M455" s="10">
        <f>SALCE[[#This Row],[Gross_Sales]]*SALCE[[#This Row],[Discount_%]]/100</f>
        <v>375</v>
      </c>
      <c r="N455" s="10">
        <f>SALCE[[#This Row],[After_Discount]]+SALCE[[#This Row],[Tax_Value]]</f>
        <v>2127.9749999999999</v>
      </c>
      <c r="O455" s="10">
        <f>SALCE[[#This Row],[Gross_Sales]]*70%</f>
        <v>1750</v>
      </c>
      <c r="P455" s="10">
        <f>SALCE[[#This Row],[Net_Sales]]-SALCE[[#This Row],[Cost_Price]]</f>
        <v>377.97499999999991</v>
      </c>
      <c r="Q455" s="10">
        <f>SALCE[[#This Row],[Gross_Sales]]-SALCE[[#This Row],[Discount_Value]]</f>
        <v>2125</v>
      </c>
      <c r="R455" s="15" t="s">
        <v>56</v>
      </c>
      <c r="S455" s="15" t="s">
        <v>26</v>
      </c>
      <c r="T455" s="15" t="s">
        <v>22</v>
      </c>
    </row>
    <row r="456" spans="1:20" s="12" customFormat="1" ht="30" customHeight="1" thickTop="1" thickBot="1" x14ac:dyDescent="0.4">
      <c r="A456" s="7">
        <v>1455</v>
      </c>
      <c r="B456" s="8">
        <v>45747</v>
      </c>
      <c r="C456" s="14" t="s">
        <v>35</v>
      </c>
      <c r="D456" s="14" t="s">
        <v>18</v>
      </c>
      <c r="E456" s="14" t="s">
        <v>25</v>
      </c>
      <c r="F456" s="14" t="s">
        <v>20</v>
      </c>
      <c r="G456" s="7">
        <v>3</v>
      </c>
      <c r="H456" s="7">
        <v>500</v>
      </c>
      <c r="I456" s="9">
        <v>5</v>
      </c>
      <c r="J456" s="10">
        <f>SALCE[[#This Row],[After_Discount]]*SALCE[[#This Row],[Tax_%]]/100</f>
        <v>1.9950000000000003</v>
      </c>
      <c r="K456" s="11">
        <v>0.14000000000000001</v>
      </c>
      <c r="L456" s="10">
        <f>SALCE[[#This Row],[Quantity]]*SALCE[[#This Row],[Unit_Price]]</f>
        <v>1500</v>
      </c>
      <c r="M456" s="10">
        <f>SALCE[[#This Row],[Gross_Sales]]*SALCE[[#This Row],[Discount_%]]/100</f>
        <v>75</v>
      </c>
      <c r="N456" s="10">
        <f>SALCE[[#This Row],[After_Discount]]+SALCE[[#This Row],[Tax_Value]]</f>
        <v>1426.9949999999999</v>
      </c>
      <c r="O456" s="10">
        <f>SALCE[[#This Row],[Gross_Sales]]*70%</f>
        <v>1050</v>
      </c>
      <c r="P456" s="10">
        <f>SALCE[[#This Row],[Net_Sales]]-SALCE[[#This Row],[Cost_Price]]</f>
        <v>376.99499999999989</v>
      </c>
      <c r="Q456" s="10">
        <f>SALCE[[#This Row],[Gross_Sales]]-SALCE[[#This Row],[Discount_Value]]</f>
        <v>1425</v>
      </c>
      <c r="R456" s="15" t="s">
        <v>61</v>
      </c>
      <c r="S456" s="15" t="s">
        <v>37</v>
      </c>
      <c r="T456" s="15" t="s">
        <v>22</v>
      </c>
    </row>
    <row r="457" spans="1:20" s="12" customFormat="1" ht="30" customHeight="1" thickTop="1" thickBot="1" x14ac:dyDescent="0.4">
      <c r="A457" s="7">
        <v>1456</v>
      </c>
      <c r="B457" s="8">
        <v>45748</v>
      </c>
      <c r="C457" s="14" t="s">
        <v>39</v>
      </c>
      <c r="D457" s="14" t="s">
        <v>29</v>
      </c>
      <c r="E457" s="14" t="s">
        <v>25</v>
      </c>
      <c r="F457" s="14" t="s">
        <v>20</v>
      </c>
      <c r="G457" s="7">
        <v>10</v>
      </c>
      <c r="H457" s="7">
        <v>500</v>
      </c>
      <c r="I457" s="9">
        <v>5</v>
      </c>
      <c r="J457" s="10">
        <f>SALCE[[#This Row],[After_Discount]]*SALCE[[#This Row],[Tax_%]]/100</f>
        <v>6.6500000000000012</v>
      </c>
      <c r="K457" s="11">
        <v>0.14000000000000001</v>
      </c>
      <c r="L457" s="10">
        <f>SALCE[[#This Row],[Quantity]]*SALCE[[#This Row],[Unit_Price]]</f>
        <v>5000</v>
      </c>
      <c r="M457" s="10">
        <f>SALCE[[#This Row],[Gross_Sales]]*SALCE[[#This Row],[Discount_%]]/100</f>
        <v>250</v>
      </c>
      <c r="N457" s="10">
        <f>SALCE[[#This Row],[After_Discount]]+SALCE[[#This Row],[Tax_Value]]</f>
        <v>4756.6499999999996</v>
      </c>
      <c r="O457" s="10">
        <f>SALCE[[#This Row],[Gross_Sales]]*70%</f>
        <v>3500</v>
      </c>
      <c r="P457" s="10">
        <f>SALCE[[#This Row],[Net_Sales]]-SALCE[[#This Row],[Cost_Price]]</f>
        <v>1256.6499999999996</v>
      </c>
      <c r="Q457" s="10">
        <f>SALCE[[#This Row],[Gross_Sales]]-SALCE[[#This Row],[Discount_Value]]</f>
        <v>4750</v>
      </c>
      <c r="R457" s="15" t="s">
        <v>53</v>
      </c>
      <c r="S457" s="15" t="s">
        <v>37</v>
      </c>
      <c r="T457" s="15" t="s">
        <v>27</v>
      </c>
    </row>
    <row r="458" spans="1:20" s="12" customFormat="1" ht="30" customHeight="1" thickTop="1" thickBot="1" x14ac:dyDescent="0.4">
      <c r="A458" s="7">
        <v>1457</v>
      </c>
      <c r="B458" s="8">
        <v>45749</v>
      </c>
      <c r="C458" s="14" t="s">
        <v>17</v>
      </c>
      <c r="D458" s="14" t="s">
        <v>38</v>
      </c>
      <c r="E458" s="14" t="s">
        <v>19</v>
      </c>
      <c r="F458" s="14" t="s">
        <v>20</v>
      </c>
      <c r="G458" s="7">
        <v>3</v>
      </c>
      <c r="H458" s="7">
        <v>300</v>
      </c>
      <c r="I458" s="9">
        <v>0</v>
      </c>
      <c r="J458" s="10">
        <f>SALCE[[#This Row],[After_Discount]]*SALCE[[#This Row],[Tax_%]]/100</f>
        <v>1.2600000000000002</v>
      </c>
      <c r="K458" s="11">
        <v>0.14000000000000001</v>
      </c>
      <c r="L458" s="10">
        <f>SALCE[[#This Row],[Quantity]]*SALCE[[#This Row],[Unit_Price]]</f>
        <v>900</v>
      </c>
      <c r="M458" s="10">
        <f>SALCE[[#This Row],[Gross_Sales]]*SALCE[[#This Row],[Discount_%]]/100</f>
        <v>0</v>
      </c>
      <c r="N458" s="10">
        <f>SALCE[[#This Row],[After_Discount]]+SALCE[[#This Row],[Tax_Value]]</f>
        <v>901.26</v>
      </c>
      <c r="O458" s="10">
        <f>SALCE[[#This Row],[Gross_Sales]]*70%</f>
        <v>630</v>
      </c>
      <c r="P458" s="10">
        <f>SALCE[[#This Row],[Net_Sales]]-SALCE[[#This Row],[Cost_Price]]</f>
        <v>271.26</v>
      </c>
      <c r="Q458" s="10">
        <f>SALCE[[#This Row],[Gross_Sales]]-SALCE[[#This Row],[Discount_Value]]</f>
        <v>900</v>
      </c>
      <c r="R458" s="15" t="s">
        <v>51</v>
      </c>
      <c r="S458" s="15" t="s">
        <v>21</v>
      </c>
      <c r="T458" s="15" t="s">
        <v>22</v>
      </c>
    </row>
    <row r="459" spans="1:20" s="12" customFormat="1" ht="30" customHeight="1" thickTop="1" thickBot="1" x14ac:dyDescent="0.4">
      <c r="A459" s="7">
        <v>1458</v>
      </c>
      <c r="B459" s="8">
        <v>45750</v>
      </c>
      <c r="C459" s="14" t="s">
        <v>28</v>
      </c>
      <c r="D459" s="14" t="s">
        <v>18</v>
      </c>
      <c r="E459" s="14" t="s">
        <v>19</v>
      </c>
      <c r="F459" s="14" t="s">
        <v>20</v>
      </c>
      <c r="G459" s="7">
        <v>10</v>
      </c>
      <c r="H459" s="7">
        <v>300</v>
      </c>
      <c r="I459" s="9">
        <v>15</v>
      </c>
      <c r="J459" s="10">
        <f>SALCE[[#This Row],[After_Discount]]*SALCE[[#This Row],[Tax_%]]/100</f>
        <v>3.5700000000000007</v>
      </c>
      <c r="K459" s="11">
        <v>0.14000000000000001</v>
      </c>
      <c r="L459" s="10">
        <f>SALCE[[#This Row],[Quantity]]*SALCE[[#This Row],[Unit_Price]]</f>
        <v>3000</v>
      </c>
      <c r="M459" s="10">
        <f>SALCE[[#This Row],[Gross_Sales]]*SALCE[[#This Row],[Discount_%]]/100</f>
        <v>450</v>
      </c>
      <c r="N459" s="10">
        <f>SALCE[[#This Row],[After_Discount]]+SALCE[[#This Row],[Tax_Value]]</f>
        <v>2553.5700000000002</v>
      </c>
      <c r="O459" s="10">
        <f>SALCE[[#This Row],[Gross_Sales]]*70%</f>
        <v>2100</v>
      </c>
      <c r="P459" s="10">
        <f>SALCE[[#This Row],[Net_Sales]]-SALCE[[#This Row],[Cost_Price]]</f>
        <v>453.57000000000016</v>
      </c>
      <c r="Q459" s="10">
        <f>SALCE[[#This Row],[Gross_Sales]]-SALCE[[#This Row],[Discount_Value]]</f>
        <v>2550</v>
      </c>
      <c r="R459" s="15" t="s">
        <v>54</v>
      </c>
      <c r="S459" s="15" t="s">
        <v>26</v>
      </c>
      <c r="T459" s="15" t="s">
        <v>22</v>
      </c>
    </row>
    <row r="460" spans="1:20" s="12" customFormat="1" ht="30" customHeight="1" thickTop="1" thickBot="1" x14ac:dyDescent="0.4">
      <c r="A460" s="7">
        <v>1459</v>
      </c>
      <c r="B460" s="8">
        <v>45751</v>
      </c>
      <c r="C460" s="14" t="s">
        <v>30</v>
      </c>
      <c r="D460" s="14" t="s">
        <v>18</v>
      </c>
      <c r="E460" s="14" t="s">
        <v>25</v>
      </c>
      <c r="F460" s="14" t="s">
        <v>20</v>
      </c>
      <c r="G460" s="7">
        <v>4</v>
      </c>
      <c r="H460" s="7">
        <v>500</v>
      </c>
      <c r="I460" s="9">
        <v>10</v>
      </c>
      <c r="J460" s="10">
        <f>SALCE[[#This Row],[After_Discount]]*SALCE[[#This Row],[Tax_%]]/100</f>
        <v>2.5200000000000005</v>
      </c>
      <c r="K460" s="11">
        <v>0.14000000000000001</v>
      </c>
      <c r="L460" s="10">
        <f>SALCE[[#This Row],[Quantity]]*SALCE[[#This Row],[Unit_Price]]</f>
        <v>2000</v>
      </c>
      <c r="M460" s="10">
        <f>SALCE[[#This Row],[Gross_Sales]]*SALCE[[#This Row],[Discount_%]]/100</f>
        <v>200</v>
      </c>
      <c r="N460" s="10">
        <f>SALCE[[#This Row],[After_Discount]]+SALCE[[#This Row],[Tax_Value]]</f>
        <v>1802.52</v>
      </c>
      <c r="O460" s="10">
        <f>SALCE[[#This Row],[Gross_Sales]]*70%</f>
        <v>1400</v>
      </c>
      <c r="P460" s="10">
        <f>SALCE[[#This Row],[Net_Sales]]-SALCE[[#This Row],[Cost_Price]]</f>
        <v>402.52</v>
      </c>
      <c r="Q460" s="10">
        <f>SALCE[[#This Row],[Gross_Sales]]-SALCE[[#This Row],[Discount_Value]]</f>
        <v>1800</v>
      </c>
      <c r="R460" s="15" t="s">
        <v>54</v>
      </c>
      <c r="S460" s="15" t="s">
        <v>21</v>
      </c>
      <c r="T460" s="15" t="s">
        <v>27</v>
      </c>
    </row>
    <row r="461" spans="1:20" s="12" customFormat="1" ht="30" customHeight="1" thickTop="1" thickBot="1" x14ac:dyDescent="0.4">
      <c r="A461" s="7">
        <v>1460</v>
      </c>
      <c r="B461" s="8">
        <v>45752</v>
      </c>
      <c r="C461" s="14" t="s">
        <v>28</v>
      </c>
      <c r="D461" s="14" t="s">
        <v>18</v>
      </c>
      <c r="E461" s="14" t="s">
        <v>25</v>
      </c>
      <c r="F461" s="14" t="s">
        <v>20</v>
      </c>
      <c r="G461" s="7">
        <v>10</v>
      </c>
      <c r="H461" s="7">
        <v>500</v>
      </c>
      <c r="I461" s="9">
        <v>0</v>
      </c>
      <c r="J461" s="10">
        <f>SALCE[[#This Row],[After_Discount]]*SALCE[[#This Row],[Tax_%]]/100</f>
        <v>7.0000000000000009</v>
      </c>
      <c r="K461" s="11">
        <v>0.14000000000000001</v>
      </c>
      <c r="L461" s="10">
        <f>SALCE[[#This Row],[Quantity]]*SALCE[[#This Row],[Unit_Price]]</f>
        <v>5000</v>
      </c>
      <c r="M461" s="10">
        <f>SALCE[[#This Row],[Gross_Sales]]*SALCE[[#This Row],[Discount_%]]/100</f>
        <v>0</v>
      </c>
      <c r="N461" s="10">
        <f>SALCE[[#This Row],[After_Discount]]+SALCE[[#This Row],[Tax_Value]]</f>
        <v>5007</v>
      </c>
      <c r="O461" s="10">
        <f>SALCE[[#This Row],[Gross_Sales]]*70%</f>
        <v>3500</v>
      </c>
      <c r="P461" s="10">
        <f>SALCE[[#This Row],[Net_Sales]]-SALCE[[#This Row],[Cost_Price]]</f>
        <v>1507</v>
      </c>
      <c r="Q461" s="10">
        <f>SALCE[[#This Row],[Gross_Sales]]-SALCE[[#This Row],[Discount_Value]]</f>
        <v>5000</v>
      </c>
      <c r="R461" s="15" t="s">
        <v>59</v>
      </c>
      <c r="S461" s="15" t="s">
        <v>21</v>
      </c>
      <c r="T461" s="15" t="s">
        <v>27</v>
      </c>
    </row>
    <row r="462" spans="1:20" s="12" customFormat="1" ht="30" customHeight="1" thickTop="1" thickBot="1" x14ac:dyDescent="0.4">
      <c r="A462" s="7">
        <v>1461</v>
      </c>
      <c r="B462" s="8">
        <v>45753</v>
      </c>
      <c r="C462" s="14" t="s">
        <v>23</v>
      </c>
      <c r="D462" s="14" t="s">
        <v>36</v>
      </c>
      <c r="E462" s="14" t="s">
        <v>40</v>
      </c>
      <c r="F462" s="14" t="s">
        <v>20</v>
      </c>
      <c r="G462" s="7">
        <v>5</v>
      </c>
      <c r="H462" s="7">
        <v>800</v>
      </c>
      <c r="I462" s="9">
        <v>10</v>
      </c>
      <c r="J462" s="10">
        <f>SALCE[[#This Row],[After_Discount]]*SALCE[[#This Row],[Tax_%]]/100</f>
        <v>5.0400000000000009</v>
      </c>
      <c r="K462" s="11">
        <v>0.14000000000000001</v>
      </c>
      <c r="L462" s="10">
        <f>SALCE[[#This Row],[Quantity]]*SALCE[[#This Row],[Unit_Price]]</f>
        <v>4000</v>
      </c>
      <c r="M462" s="10">
        <f>SALCE[[#This Row],[Gross_Sales]]*SALCE[[#This Row],[Discount_%]]/100</f>
        <v>400</v>
      </c>
      <c r="N462" s="10">
        <f>SALCE[[#This Row],[After_Discount]]+SALCE[[#This Row],[Tax_Value]]</f>
        <v>3605.04</v>
      </c>
      <c r="O462" s="10">
        <f>SALCE[[#This Row],[Gross_Sales]]*70%</f>
        <v>2800</v>
      </c>
      <c r="P462" s="10">
        <f>SALCE[[#This Row],[Net_Sales]]-SALCE[[#This Row],[Cost_Price]]</f>
        <v>805.04</v>
      </c>
      <c r="Q462" s="10">
        <f>SALCE[[#This Row],[Gross_Sales]]-SALCE[[#This Row],[Discount_Value]]</f>
        <v>3600</v>
      </c>
      <c r="R462" s="15" t="s">
        <v>52</v>
      </c>
      <c r="S462" s="15" t="s">
        <v>26</v>
      </c>
      <c r="T462" s="15" t="s">
        <v>22</v>
      </c>
    </row>
    <row r="463" spans="1:20" s="12" customFormat="1" ht="30" customHeight="1" thickTop="1" thickBot="1" x14ac:dyDescent="0.4">
      <c r="A463" s="7">
        <v>1462</v>
      </c>
      <c r="B463" s="8">
        <v>45754</v>
      </c>
      <c r="C463" s="14" t="s">
        <v>28</v>
      </c>
      <c r="D463" s="14" t="s">
        <v>36</v>
      </c>
      <c r="E463" s="14" t="s">
        <v>19</v>
      </c>
      <c r="F463" s="14" t="s">
        <v>20</v>
      </c>
      <c r="G463" s="7">
        <v>4</v>
      </c>
      <c r="H463" s="7">
        <v>300</v>
      </c>
      <c r="I463" s="9">
        <v>15</v>
      </c>
      <c r="J463" s="10">
        <f>SALCE[[#This Row],[After_Discount]]*SALCE[[#This Row],[Tax_%]]/100</f>
        <v>1.4280000000000002</v>
      </c>
      <c r="K463" s="11">
        <v>0.14000000000000001</v>
      </c>
      <c r="L463" s="10">
        <f>SALCE[[#This Row],[Quantity]]*SALCE[[#This Row],[Unit_Price]]</f>
        <v>1200</v>
      </c>
      <c r="M463" s="10">
        <f>SALCE[[#This Row],[Gross_Sales]]*SALCE[[#This Row],[Discount_%]]/100</f>
        <v>180</v>
      </c>
      <c r="N463" s="10">
        <f>SALCE[[#This Row],[After_Discount]]+SALCE[[#This Row],[Tax_Value]]</f>
        <v>1021.428</v>
      </c>
      <c r="O463" s="10">
        <f>SALCE[[#This Row],[Gross_Sales]]*70%</f>
        <v>840</v>
      </c>
      <c r="P463" s="10">
        <f>SALCE[[#This Row],[Net_Sales]]-SALCE[[#This Row],[Cost_Price]]</f>
        <v>181.428</v>
      </c>
      <c r="Q463" s="10">
        <f>SALCE[[#This Row],[Gross_Sales]]-SALCE[[#This Row],[Discount_Value]]</f>
        <v>1020</v>
      </c>
      <c r="R463" s="15" t="s">
        <v>51</v>
      </c>
      <c r="S463" s="15" t="s">
        <v>26</v>
      </c>
      <c r="T463" s="15" t="s">
        <v>22</v>
      </c>
    </row>
    <row r="464" spans="1:20" s="12" customFormat="1" ht="30" customHeight="1" thickTop="1" thickBot="1" x14ac:dyDescent="0.4">
      <c r="A464" s="7">
        <v>1463</v>
      </c>
      <c r="B464" s="8">
        <v>45755</v>
      </c>
      <c r="C464" s="14" t="s">
        <v>28</v>
      </c>
      <c r="D464" s="14" t="s">
        <v>24</v>
      </c>
      <c r="E464" s="14" t="s">
        <v>31</v>
      </c>
      <c r="F464" s="14" t="s">
        <v>32</v>
      </c>
      <c r="G464" s="7">
        <v>6</v>
      </c>
      <c r="H464" s="7">
        <v>15000</v>
      </c>
      <c r="I464" s="9">
        <v>15</v>
      </c>
      <c r="J464" s="10">
        <f>SALCE[[#This Row],[After_Discount]]*SALCE[[#This Row],[Tax_%]]/100</f>
        <v>107.10000000000002</v>
      </c>
      <c r="K464" s="11">
        <v>0.14000000000000001</v>
      </c>
      <c r="L464" s="10">
        <f>SALCE[[#This Row],[Quantity]]*SALCE[[#This Row],[Unit_Price]]</f>
        <v>90000</v>
      </c>
      <c r="M464" s="10">
        <f>SALCE[[#This Row],[Gross_Sales]]*SALCE[[#This Row],[Discount_%]]/100</f>
        <v>13500</v>
      </c>
      <c r="N464" s="10">
        <f>SALCE[[#This Row],[After_Discount]]+SALCE[[#This Row],[Tax_Value]]</f>
        <v>76607.100000000006</v>
      </c>
      <c r="O464" s="10">
        <f>SALCE[[#This Row],[Gross_Sales]]*70%</f>
        <v>62999.999999999993</v>
      </c>
      <c r="P464" s="10">
        <f>SALCE[[#This Row],[Net_Sales]]-SALCE[[#This Row],[Cost_Price]]</f>
        <v>13607.100000000013</v>
      </c>
      <c r="Q464" s="10">
        <f>SALCE[[#This Row],[Gross_Sales]]-SALCE[[#This Row],[Discount_Value]]</f>
        <v>76500</v>
      </c>
      <c r="R464" s="15" t="s">
        <v>58</v>
      </c>
      <c r="S464" s="15" t="s">
        <v>26</v>
      </c>
      <c r="T464" s="15" t="s">
        <v>22</v>
      </c>
    </row>
    <row r="465" spans="1:20" s="12" customFormat="1" ht="30" customHeight="1" thickTop="1" thickBot="1" x14ac:dyDescent="0.4">
      <c r="A465" s="7">
        <v>1464</v>
      </c>
      <c r="B465" s="8">
        <v>45756</v>
      </c>
      <c r="C465" s="14" t="s">
        <v>35</v>
      </c>
      <c r="D465" s="14" t="s">
        <v>36</v>
      </c>
      <c r="E465" s="14" t="s">
        <v>31</v>
      </c>
      <c r="F465" s="14" t="s">
        <v>32</v>
      </c>
      <c r="G465" s="7">
        <v>5</v>
      </c>
      <c r="H465" s="7">
        <v>15000</v>
      </c>
      <c r="I465" s="9">
        <v>10</v>
      </c>
      <c r="J465" s="10">
        <f>SALCE[[#This Row],[After_Discount]]*SALCE[[#This Row],[Tax_%]]/100</f>
        <v>94.5</v>
      </c>
      <c r="K465" s="11">
        <v>0.14000000000000001</v>
      </c>
      <c r="L465" s="10">
        <f>SALCE[[#This Row],[Quantity]]*SALCE[[#This Row],[Unit_Price]]</f>
        <v>75000</v>
      </c>
      <c r="M465" s="10">
        <f>SALCE[[#This Row],[Gross_Sales]]*SALCE[[#This Row],[Discount_%]]/100</f>
        <v>7500</v>
      </c>
      <c r="N465" s="10">
        <f>SALCE[[#This Row],[After_Discount]]+SALCE[[#This Row],[Tax_Value]]</f>
        <v>67594.5</v>
      </c>
      <c r="O465" s="10">
        <f>SALCE[[#This Row],[Gross_Sales]]*70%</f>
        <v>52500</v>
      </c>
      <c r="P465" s="10">
        <f>SALCE[[#This Row],[Net_Sales]]-SALCE[[#This Row],[Cost_Price]]</f>
        <v>15094.5</v>
      </c>
      <c r="Q465" s="10">
        <f>SALCE[[#This Row],[Gross_Sales]]-SALCE[[#This Row],[Discount_Value]]</f>
        <v>67500</v>
      </c>
      <c r="R465" s="15" t="s">
        <v>56</v>
      </c>
      <c r="S465" s="15" t="s">
        <v>21</v>
      </c>
      <c r="T465" s="15" t="s">
        <v>27</v>
      </c>
    </row>
    <row r="466" spans="1:20" s="12" customFormat="1" ht="30" customHeight="1" thickTop="1" thickBot="1" x14ac:dyDescent="0.4">
      <c r="A466" s="7">
        <v>1465</v>
      </c>
      <c r="B466" s="8">
        <v>45757</v>
      </c>
      <c r="C466" s="14" t="s">
        <v>23</v>
      </c>
      <c r="D466" s="14" t="s">
        <v>36</v>
      </c>
      <c r="E466" s="14" t="s">
        <v>34</v>
      </c>
      <c r="F466" s="14" t="s">
        <v>32</v>
      </c>
      <c r="G466" s="7">
        <v>1</v>
      </c>
      <c r="H466" s="7">
        <v>4000</v>
      </c>
      <c r="I466" s="9">
        <v>5</v>
      </c>
      <c r="J466" s="10">
        <f>SALCE[[#This Row],[After_Discount]]*SALCE[[#This Row],[Tax_%]]/100</f>
        <v>5.32</v>
      </c>
      <c r="K466" s="11">
        <v>0.14000000000000001</v>
      </c>
      <c r="L466" s="10">
        <f>SALCE[[#This Row],[Quantity]]*SALCE[[#This Row],[Unit_Price]]</f>
        <v>4000</v>
      </c>
      <c r="M466" s="10">
        <f>SALCE[[#This Row],[Gross_Sales]]*SALCE[[#This Row],[Discount_%]]/100</f>
        <v>200</v>
      </c>
      <c r="N466" s="10">
        <f>SALCE[[#This Row],[After_Discount]]+SALCE[[#This Row],[Tax_Value]]</f>
        <v>3805.32</v>
      </c>
      <c r="O466" s="10">
        <f>SALCE[[#This Row],[Gross_Sales]]*70%</f>
        <v>2800</v>
      </c>
      <c r="P466" s="10">
        <f>SALCE[[#This Row],[Net_Sales]]-SALCE[[#This Row],[Cost_Price]]</f>
        <v>1005.3200000000002</v>
      </c>
      <c r="Q466" s="10">
        <f>SALCE[[#This Row],[Gross_Sales]]-SALCE[[#This Row],[Discount_Value]]</f>
        <v>3800</v>
      </c>
      <c r="R466" s="15" t="s">
        <v>58</v>
      </c>
      <c r="S466" s="15" t="s">
        <v>26</v>
      </c>
      <c r="T466" s="15" t="s">
        <v>27</v>
      </c>
    </row>
    <row r="467" spans="1:20" s="12" customFormat="1" ht="30" customHeight="1" thickTop="1" thickBot="1" x14ac:dyDescent="0.4">
      <c r="A467" s="7">
        <v>1466</v>
      </c>
      <c r="B467" s="8">
        <v>45758</v>
      </c>
      <c r="C467" s="14" t="s">
        <v>35</v>
      </c>
      <c r="D467" s="14" t="s">
        <v>24</v>
      </c>
      <c r="E467" s="14" t="s">
        <v>34</v>
      </c>
      <c r="F467" s="14" t="s">
        <v>32</v>
      </c>
      <c r="G467" s="7">
        <v>8</v>
      </c>
      <c r="H467" s="7">
        <v>4000</v>
      </c>
      <c r="I467" s="9">
        <v>10</v>
      </c>
      <c r="J467" s="10">
        <f>SALCE[[#This Row],[After_Discount]]*SALCE[[#This Row],[Tax_%]]/100</f>
        <v>40.320000000000007</v>
      </c>
      <c r="K467" s="11">
        <v>0.14000000000000001</v>
      </c>
      <c r="L467" s="10">
        <f>SALCE[[#This Row],[Quantity]]*SALCE[[#This Row],[Unit_Price]]</f>
        <v>32000</v>
      </c>
      <c r="M467" s="10">
        <f>SALCE[[#This Row],[Gross_Sales]]*SALCE[[#This Row],[Discount_%]]/100</f>
        <v>3200</v>
      </c>
      <c r="N467" s="10">
        <f>SALCE[[#This Row],[After_Discount]]+SALCE[[#This Row],[Tax_Value]]</f>
        <v>28840.32</v>
      </c>
      <c r="O467" s="10">
        <f>SALCE[[#This Row],[Gross_Sales]]*70%</f>
        <v>22400</v>
      </c>
      <c r="P467" s="10">
        <f>SALCE[[#This Row],[Net_Sales]]-SALCE[[#This Row],[Cost_Price]]</f>
        <v>6440.32</v>
      </c>
      <c r="Q467" s="10">
        <f>SALCE[[#This Row],[Gross_Sales]]-SALCE[[#This Row],[Discount_Value]]</f>
        <v>28800</v>
      </c>
      <c r="R467" s="15" t="s">
        <v>59</v>
      </c>
      <c r="S467" s="15" t="s">
        <v>37</v>
      </c>
      <c r="T467" s="15" t="s">
        <v>27</v>
      </c>
    </row>
    <row r="468" spans="1:20" s="12" customFormat="1" ht="30" customHeight="1" thickTop="1" thickBot="1" x14ac:dyDescent="0.4">
      <c r="A468" s="7">
        <v>1467</v>
      </c>
      <c r="B468" s="8">
        <v>45759</v>
      </c>
      <c r="C468" s="14" t="s">
        <v>35</v>
      </c>
      <c r="D468" s="14" t="s">
        <v>41</v>
      </c>
      <c r="E468" s="14" t="s">
        <v>19</v>
      </c>
      <c r="F468" s="14" t="s">
        <v>20</v>
      </c>
      <c r="G468" s="7">
        <v>1</v>
      </c>
      <c r="H468" s="7">
        <v>300</v>
      </c>
      <c r="I468" s="9">
        <v>10</v>
      </c>
      <c r="J468" s="10">
        <f>SALCE[[#This Row],[After_Discount]]*SALCE[[#This Row],[Tax_%]]/100</f>
        <v>0.37800000000000006</v>
      </c>
      <c r="K468" s="11">
        <v>0.14000000000000001</v>
      </c>
      <c r="L468" s="10">
        <f>SALCE[[#This Row],[Quantity]]*SALCE[[#This Row],[Unit_Price]]</f>
        <v>300</v>
      </c>
      <c r="M468" s="10">
        <f>SALCE[[#This Row],[Gross_Sales]]*SALCE[[#This Row],[Discount_%]]/100</f>
        <v>30</v>
      </c>
      <c r="N468" s="10">
        <f>SALCE[[#This Row],[After_Discount]]+SALCE[[#This Row],[Tax_Value]]</f>
        <v>270.37799999999999</v>
      </c>
      <c r="O468" s="10">
        <f>SALCE[[#This Row],[Gross_Sales]]*70%</f>
        <v>210</v>
      </c>
      <c r="P468" s="10">
        <f>SALCE[[#This Row],[Net_Sales]]-SALCE[[#This Row],[Cost_Price]]</f>
        <v>60.377999999999986</v>
      </c>
      <c r="Q468" s="10">
        <f>SALCE[[#This Row],[Gross_Sales]]-SALCE[[#This Row],[Discount_Value]]</f>
        <v>270</v>
      </c>
      <c r="R468" s="15" t="s">
        <v>59</v>
      </c>
      <c r="S468" s="15" t="s">
        <v>21</v>
      </c>
      <c r="T468" s="15" t="s">
        <v>22</v>
      </c>
    </row>
    <row r="469" spans="1:20" s="12" customFormat="1" ht="30" customHeight="1" thickTop="1" thickBot="1" x14ac:dyDescent="0.4">
      <c r="A469" s="7">
        <v>1468</v>
      </c>
      <c r="B469" s="8">
        <v>45760</v>
      </c>
      <c r="C469" s="14" t="s">
        <v>17</v>
      </c>
      <c r="D469" s="14" t="s">
        <v>36</v>
      </c>
      <c r="E469" s="14" t="s">
        <v>33</v>
      </c>
      <c r="F469" s="14" t="s">
        <v>32</v>
      </c>
      <c r="G469" s="7">
        <v>7</v>
      </c>
      <c r="H469" s="7">
        <v>6000</v>
      </c>
      <c r="I469" s="9">
        <v>15</v>
      </c>
      <c r="J469" s="10">
        <f>SALCE[[#This Row],[After_Discount]]*SALCE[[#This Row],[Tax_%]]/100</f>
        <v>49.980000000000011</v>
      </c>
      <c r="K469" s="11">
        <v>0.14000000000000001</v>
      </c>
      <c r="L469" s="10">
        <f>SALCE[[#This Row],[Quantity]]*SALCE[[#This Row],[Unit_Price]]</f>
        <v>42000</v>
      </c>
      <c r="M469" s="10">
        <f>SALCE[[#This Row],[Gross_Sales]]*SALCE[[#This Row],[Discount_%]]/100</f>
        <v>6300</v>
      </c>
      <c r="N469" s="10">
        <f>SALCE[[#This Row],[After_Discount]]+SALCE[[#This Row],[Tax_Value]]</f>
        <v>35749.980000000003</v>
      </c>
      <c r="O469" s="10">
        <f>SALCE[[#This Row],[Gross_Sales]]*70%</f>
        <v>29399.999999999996</v>
      </c>
      <c r="P469" s="10">
        <f>SALCE[[#This Row],[Net_Sales]]-SALCE[[#This Row],[Cost_Price]]</f>
        <v>6349.9800000000068</v>
      </c>
      <c r="Q469" s="10">
        <f>SALCE[[#This Row],[Gross_Sales]]-SALCE[[#This Row],[Discount_Value]]</f>
        <v>35700</v>
      </c>
      <c r="R469" s="15" t="s">
        <v>54</v>
      </c>
      <c r="S469" s="15" t="s">
        <v>26</v>
      </c>
      <c r="T469" s="15" t="s">
        <v>22</v>
      </c>
    </row>
    <row r="470" spans="1:20" s="12" customFormat="1" ht="30" customHeight="1" thickTop="1" thickBot="1" x14ac:dyDescent="0.4">
      <c r="A470" s="7">
        <v>1469</v>
      </c>
      <c r="B470" s="8">
        <v>45761</v>
      </c>
      <c r="C470" s="14" t="s">
        <v>39</v>
      </c>
      <c r="D470" s="14" t="s">
        <v>41</v>
      </c>
      <c r="E470" s="14" t="s">
        <v>34</v>
      </c>
      <c r="F470" s="14" t="s">
        <v>32</v>
      </c>
      <c r="G470" s="7">
        <v>1</v>
      </c>
      <c r="H470" s="7">
        <v>4000</v>
      </c>
      <c r="I470" s="9">
        <v>0</v>
      </c>
      <c r="J470" s="10">
        <f>SALCE[[#This Row],[After_Discount]]*SALCE[[#This Row],[Tax_%]]/100</f>
        <v>5.6</v>
      </c>
      <c r="K470" s="11">
        <v>0.14000000000000001</v>
      </c>
      <c r="L470" s="10">
        <f>SALCE[[#This Row],[Quantity]]*SALCE[[#This Row],[Unit_Price]]</f>
        <v>4000</v>
      </c>
      <c r="M470" s="10">
        <f>SALCE[[#This Row],[Gross_Sales]]*SALCE[[#This Row],[Discount_%]]/100</f>
        <v>0</v>
      </c>
      <c r="N470" s="10">
        <f>SALCE[[#This Row],[After_Discount]]+SALCE[[#This Row],[Tax_Value]]</f>
        <v>4005.6</v>
      </c>
      <c r="O470" s="10">
        <f>SALCE[[#This Row],[Gross_Sales]]*70%</f>
        <v>2800</v>
      </c>
      <c r="P470" s="10">
        <f>SALCE[[#This Row],[Net_Sales]]-SALCE[[#This Row],[Cost_Price]]</f>
        <v>1205.5999999999999</v>
      </c>
      <c r="Q470" s="10">
        <f>SALCE[[#This Row],[Gross_Sales]]-SALCE[[#This Row],[Discount_Value]]</f>
        <v>4000</v>
      </c>
      <c r="R470" s="15" t="s">
        <v>53</v>
      </c>
      <c r="S470" s="15" t="s">
        <v>26</v>
      </c>
      <c r="T470" s="15" t="s">
        <v>22</v>
      </c>
    </row>
    <row r="471" spans="1:20" s="12" customFormat="1" ht="30" customHeight="1" thickTop="1" thickBot="1" x14ac:dyDescent="0.4">
      <c r="A471" s="7">
        <v>1470</v>
      </c>
      <c r="B471" s="8">
        <v>45762</v>
      </c>
      <c r="C471" s="14" t="s">
        <v>30</v>
      </c>
      <c r="D471" s="14" t="s">
        <v>24</v>
      </c>
      <c r="E471" s="14" t="s">
        <v>19</v>
      </c>
      <c r="F471" s="14" t="s">
        <v>20</v>
      </c>
      <c r="G471" s="7">
        <v>10</v>
      </c>
      <c r="H471" s="7">
        <v>300</v>
      </c>
      <c r="I471" s="9">
        <v>15</v>
      </c>
      <c r="J471" s="10">
        <f>SALCE[[#This Row],[After_Discount]]*SALCE[[#This Row],[Tax_%]]/100</f>
        <v>3.5700000000000007</v>
      </c>
      <c r="K471" s="11">
        <v>0.14000000000000001</v>
      </c>
      <c r="L471" s="10">
        <f>SALCE[[#This Row],[Quantity]]*SALCE[[#This Row],[Unit_Price]]</f>
        <v>3000</v>
      </c>
      <c r="M471" s="10">
        <f>SALCE[[#This Row],[Gross_Sales]]*SALCE[[#This Row],[Discount_%]]/100</f>
        <v>450</v>
      </c>
      <c r="N471" s="10">
        <f>SALCE[[#This Row],[After_Discount]]+SALCE[[#This Row],[Tax_Value]]</f>
        <v>2553.5700000000002</v>
      </c>
      <c r="O471" s="10">
        <f>SALCE[[#This Row],[Gross_Sales]]*70%</f>
        <v>2100</v>
      </c>
      <c r="P471" s="10">
        <f>SALCE[[#This Row],[Net_Sales]]-SALCE[[#This Row],[Cost_Price]]</f>
        <v>453.57000000000016</v>
      </c>
      <c r="Q471" s="10">
        <f>SALCE[[#This Row],[Gross_Sales]]-SALCE[[#This Row],[Discount_Value]]</f>
        <v>2550</v>
      </c>
      <c r="R471" s="15" t="s">
        <v>52</v>
      </c>
      <c r="S471" s="15" t="s">
        <v>37</v>
      </c>
      <c r="T471" s="15" t="s">
        <v>22</v>
      </c>
    </row>
    <row r="472" spans="1:20" s="12" customFormat="1" ht="30" customHeight="1" thickTop="1" thickBot="1" x14ac:dyDescent="0.4">
      <c r="A472" s="7">
        <v>1471</v>
      </c>
      <c r="B472" s="8">
        <v>45763</v>
      </c>
      <c r="C472" s="14" t="s">
        <v>39</v>
      </c>
      <c r="D472" s="14" t="s">
        <v>18</v>
      </c>
      <c r="E472" s="14" t="s">
        <v>34</v>
      </c>
      <c r="F472" s="14" t="s">
        <v>32</v>
      </c>
      <c r="G472" s="7">
        <v>7</v>
      </c>
      <c r="H472" s="7">
        <v>4000</v>
      </c>
      <c r="I472" s="9">
        <v>0</v>
      </c>
      <c r="J472" s="10">
        <f>SALCE[[#This Row],[After_Discount]]*SALCE[[#This Row],[Tax_%]]/100</f>
        <v>39.200000000000003</v>
      </c>
      <c r="K472" s="11">
        <v>0.14000000000000001</v>
      </c>
      <c r="L472" s="10">
        <f>SALCE[[#This Row],[Quantity]]*SALCE[[#This Row],[Unit_Price]]</f>
        <v>28000</v>
      </c>
      <c r="M472" s="10">
        <f>SALCE[[#This Row],[Gross_Sales]]*SALCE[[#This Row],[Discount_%]]/100</f>
        <v>0</v>
      </c>
      <c r="N472" s="10">
        <f>SALCE[[#This Row],[After_Discount]]+SALCE[[#This Row],[Tax_Value]]</f>
        <v>28039.200000000001</v>
      </c>
      <c r="O472" s="10">
        <f>SALCE[[#This Row],[Gross_Sales]]*70%</f>
        <v>19600</v>
      </c>
      <c r="P472" s="10">
        <f>SALCE[[#This Row],[Net_Sales]]-SALCE[[#This Row],[Cost_Price]]</f>
        <v>8439.2000000000007</v>
      </c>
      <c r="Q472" s="10">
        <f>SALCE[[#This Row],[Gross_Sales]]-SALCE[[#This Row],[Discount_Value]]</f>
        <v>28000</v>
      </c>
      <c r="R472" s="15" t="s">
        <v>60</v>
      </c>
      <c r="S472" s="15" t="s">
        <v>37</v>
      </c>
      <c r="T472" s="15" t="s">
        <v>22</v>
      </c>
    </row>
    <row r="473" spans="1:20" s="12" customFormat="1" ht="30" customHeight="1" thickTop="1" thickBot="1" x14ac:dyDescent="0.4">
      <c r="A473" s="7">
        <v>1472</v>
      </c>
      <c r="B473" s="8">
        <v>45764</v>
      </c>
      <c r="C473" s="14" t="s">
        <v>28</v>
      </c>
      <c r="D473" s="14" t="s">
        <v>29</v>
      </c>
      <c r="E473" s="14" t="s">
        <v>31</v>
      </c>
      <c r="F473" s="14" t="s">
        <v>32</v>
      </c>
      <c r="G473" s="7">
        <v>5</v>
      </c>
      <c r="H473" s="7">
        <v>15000</v>
      </c>
      <c r="I473" s="9">
        <v>15</v>
      </c>
      <c r="J473" s="10">
        <f>SALCE[[#This Row],[After_Discount]]*SALCE[[#This Row],[Tax_%]]/100</f>
        <v>89.25</v>
      </c>
      <c r="K473" s="11">
        <v>0.14000000000000001</v>
      </c>
      <c r="L473" s="10">
        <f>SALCE[[#This Row],[Quantity]]*SALCE[[#This Row],[Unit_Price]]</f>
        <v>75000</v>
      </c>
      <c r="M473" s="10">
        <f>SALCE[[#This Row],[Gross_Sales]]*SALCE[[#This Row],[Discount_%]]/100</f>
        <v>11250</v>
      </c>
      <c r="N473" s="10">
        <f>SALCE[[#This Row],[After_Discount]]+SALCE[[#This Row],[Tax_Value]]</f>
        <v>63839.25</v>
      </c>
      <c r="O473" s="10">
        <f>SALCE[[#This Row],[Gross_Sales]]*70%</f>
        <v>52500</v>
      </c>
      <c r="P473" s="10">
        <f>SALCE[[#This Row],[Net_Sales]]-SALCE[[#This Row],[Cost_Price]]</f>
        <v>11339.25</v>
      </c>
      <c r="Q473" s="10">
        <f>SALCE[[#This Row],[Gross_Sales]]-SALCE[[#This Row],[Discount_Value]]</f>
        <v>63750</v>
      </c>
      <c r="R473" s="15" t="s">
        <v>52</v>
      </c>
      <c r="S473" s="15" t="s">
        <v>21</v>
      </c>
      <c r="T473" s="15" t="s">
        <v>27</v>
      </c>
    </row>
    <row r="474" spans="1:20" s="12" customFormat="1" ht="30" customHeight="1" thickTop="1" thickBot="1" x14ac:dyDescent="0.4">
      <c r="A474" s="7">
        <v>1473</v>
      </c>
      <c r="B474" s="8">
        <v>45765</v>
      </c>
      <c r="C474" s="14" t="s">
        <v>30</v>
      </c>
      <c r="D474" s="14" t="s">
        <v>38</v>
      </c>
      <c r="E474" s="14" t="s">
        <v>25</v>
      </c>
      <c r="F474" s="14" t="s">
        <v>20</v>
      </c>
      <c r="G474" s="7">
        <v>5</v>
      </c>
      <c r="H474" s="7">
        <v>500</v>
      </c>
      <c r="I474" s="9">
        <v>5</v>
      </c>
      <c r="J474" s="10">
        <f>SALCE[[#This Row],[After_Discount]]*SALCE[[#This Row],[Tax_%]]/100</f>
        <v>3.3250000000000006</v>
      </c>
      <c r="K474" s="11">
        <v>0.14000000000000001</v>
      </c>
      <c r="L474" s="10">
        <f>SALCE[[#This Row],[Quantity]]*SALCE[[#This Row],[Unit_Price]]</f>
        <v>2500</v>
      </c>
      <c r="M474" s="10">
        <f>SALCE[[#This Row],[Gross_Sales]]*SALCE[[#This Row],[Discount_%]]/100</f>
        <v>125</v>
      </c>
      <c r="N474" s="10">
        <f>SALCE[[#This Row],[After_Discount]]+SALCE[[#This Row],[Tax_Value]]</f>
        <v>2378.3249999999998</v>
      </c>
      <c r="O474" s="10">
        <f>SALCE[[#This Row],[Gross_Sales]]*70%</f>
        <v>1750</v>
      </c>
      <c r="P474" s="10">
        <f>SALCE[[#This Row],[Net_Sales]]-SALCE[[#This Row],[Cost_Price]]</f>
        <v>628.32499999999982</v>
      </c>
      <c r="Q474" s="10">
        <f>SALCE[[#This Row],[Gross_Sales]]-SALCE[[#This Row],[Discount_Value]]</f>
        <v>2375</v>
      </c>
      <c r="R474" s="15" t="s">
        <v>62</v>
      </c>
      <c r="S474" s="15" t="s">
        <v>37</v>
      </c>
      <c r="T474" s="15" t="s">
        <v>27</v>
      </c>
    </row>
    <row r="475" spans="1:20" s="12" customFormat="1" ht="30" customHeight="1" thickTop="1" thickBot="1" x14ac:dyDescent="0.4">
      <c r="A475" s="7">
        <v>1474</v>
      </c>
      <c r="B475" s="8">
        <v>45766</v>
      </c>
      <c r="C475" s="14" t="s">
        <v>23</v>
      </c>
      <c r="D475" s="14" t="s">
        <v>24</v>
      </c>
      <c r="E475" s="14" t="s">
        <v>40</v>
      </c>
      <c r="F475" s="14" t="s">
        <v>20</v>
      </c>
      <c r="G475" s="7">
        <v>2</v>
      </c>
      <c r="H475" s="7">
        <v>800</v>
      </c>
      <c r="I475" s="9">
        <v>15</v>
      </c>
      <c r="J475" s="10">
        <f>SALCE[[#This Row],[After_Discount]]*SALCE[[#This Row],[Tax_%]]/100</f>
        <v>1.9040000000000001</v>
      </c>
      <c r="K475" s="11">
        <v>0.14000000000000001</v>
      </c>
      <c r="L475" s="10">
        <f>SALCE[[#This Row],[Quantity]]*SALCE[[#This Row],[Unit_Price]]</f>
        <v>1600</v>
      </c>
      <c r="M475" s="10">
        <f>SALCE[[#This Row],[Gross_Sales]]*SALCE[[#This Row],[Discount_%]]/100</f>
        <v>240</v>
      </c>
      <c r="N475" s="10">
        <f>SALCE[[#This Row],[After_Discount]]+SALCE[[#This Row],[Tax_Value]]</f>
        <v>1361.904</v>
      </c>
      <c r="O475" s="10">
        <f>SALCE[[#This Row],[Gross_Sales]]*70%</f>
        <v>1120</v>
      </c>
      <c r="P475" s="10">
        <f>SALCE[[#This Row],[Net_Sales]]-SALCE[[#This Row],[Cost_Price]]</f>
        <v>241.904</v>
      </c>
      <c r="Q475" s="10">
        <f>SALCE[[#This Row],[Gross_Sales]]-SALCE[[#This Row],[Discount_Value]]</f>
        <v>1360</v>
      </c>
      <c r="R475" s="15" t="s">
        <v>51</v>
      </c>
      <c r="S475" s="15" t="s">
        <v>37</v>
      </c>
      <c r="T475" s="15" t="s">
        <v>27</v>
      </c>
    </row>
    <row r="476" spans="1:20" s="12" customFormat="1" ht="30" customHeight="1" thickTop="1" thickBot="1" x14ac:dyDescent="0.4">
      <c r="A476" s="7">
        <v>1475</v>
      </c>
      <c r="B476" s="8">
        <v>45767</v>
      </c>
      <c r="C476" s="14" t="s">
        <v>17</v>
      </c>
      <c r="D476" s="14" t="s">
        <v>38</v>
      </c>
      <c r="E476" s="14" t="s">
        <v>33</v>
      </c>
      <c r="F476" s="14" t="s">
        <v>32</v>
      </c>
      <c r="G476" s="7">
        <v>9</v>
      </c>
      <c r="H476" s="7">
        <v>6000</v>
      </c>
      <c r="I476" s="9">
        <v>5</v>
      </c>
      <c r="J476" s="10">
        <f>SALCE[[#This Row],[After_Discount]]*SALCE[[#This Row],[Tax_%]]/100</f>
        <v>71.820000000000007</v>
      </c>
      <c r="K476" s="11">
        <v>0.14000000000000001</v>
      </c>
      <c r="L476" s="10">
        <f>SALCE[[#This Row],[Quantity]]*SALCE[[#This Row],[Unit_Price]]</f>
        <v>54000</v>
      </c>
      <c r="M476" s="10">
        <f>SALCE[[#This Row],[Gross_Sales]]*SALCE[[#This Row],[Discount_%]]/100</f>
        <v>2700</v>
      </c>
      <c r="N476" s="10">
        <f>SALCE[[#This Row],[After_Discount]]+SALCE[[#This Row],[Tax_Value]]</f>
        <v>51371.82</v>
      </c>
      <c r="O476" s="10">
        <f>SALCE[[#This Row],[Gross_Sales]]*70%</f>
        <v>37800</v>
      </c>
      <c r="P476" s="10">
        <f>SALCE[[#This Row],[Net_Sales]]-SALCE[[#This Row],[Cost_Price]]</f>
        <v>13571.82</v>
      </c>
      <c r="Q476" s="10">
        <f>SALCE[[#This Row],[Gross_Sales]]-SALCE[[#This Row],[Discount_Value]]</f>
        <v>51300</v>
      </c>
      <c r="R476" s="15" t="s">
        <v>49</v>
      </c>
      <c r="S476" s="15" t="s">
        <v>26</v>
      </c>
      <c r="T476" s="15" t="s">
        <v>27</v>
      </c>
    </row>
    <row r="477" spans="1:20" s="12" customFormat="1" ht="30" customHeight="1" thickTop="1" thickBot="1" x14ac:dyDescent="0.4">
      <c r="A477" s="7">
        <v>1476</v>
      </c>
      <c r="B477" s="8">
        <v>45768</v>
      </c>
      <c r="C477" s="14" t="s">
        <v>30</v>
      </c>
      <c r="D477" s="14" t="s">
        <v>24</v>
      </c>
      <c r="E477" s="14" t="s">
        <v>25</v>
      </c>
      <c r="F477" s="14" t="s">
        <v>20</v>
      </c>
      <c r="G477" s="7">
        <v>5</v>
      </c>
      <c r="H477" s="7">
        <v>500</v>
      </c>
      <c r="I477" s="9">
        <v>0</v>
      </c>
      <c r="J477" s="10">
        <f>SALCE[[#This Row],[After_Discount]]*SALCE[[#This Row],[Tax_%]]/100</f>
        <v>3.5000000000000004</v>
      </c>
      <c r="K477" s="11">
        <v>0.14000000000000001</v>
      </c>
      <c r="L477" s="10">
        <f>SALCE[[#This Row],[Quantity]]*SALCE[[#This Row],[Unit_Price]]</f>
        <v>2500</v>
      </c>
      <c r="M477" s="10">
        <f>SALCE[[#This Row],[Gross_Sales]]*SALCE[[#This Row],[Discount_%]]/100</f>
        <v>0</v>
      </c>
      <c r="N477" s="10">
        <f>SALCE[[#This Row],[After_Discount]]+SALCE[[#This Row],[Tax_Value]]</f>
        <v>2503.5</v>
      </c>
      <c r="O477" s="10">
        <f>SALCE[[#This Row],[Gross_Sales]]*70%</f>
        <v>1750</v>
      </c>
      <c r="P477" s="10">
        <f>SALCE[[#This Row],[Net_Sales]]-SALCE[[#This Row],[Cost_Price]]</f>
        <v>753.5</v>
      </c>
      <c r="Q477" s="10">
        <f>SALCE[[#This Row],[Gross_Sales]]-SALCE[[#This Row],[Discount_Value]]</f>
        <v>2500</v>
      </c>
      <c r="R477" s="15" t="s">
        <v>62</v>
      </c>
      <c r="S477" s="15" t="s">
        <v>26</v>
      </c>
      <c r="T477" s="15" t="s">
        <v>22</v>
      </c>
    </row>
    <row r="478" spans="1:20" s="12" customFormat="1" ht="30" customHeight="1" thickTop="1" thickBot="1" x14ac:dyDescent="0.4">
      <c r="A478" s="7">
        <v>1477</v>
      </c>
      <c r="B478" s="8">
        <v>45769</v>
      </c>
      <c r="C478" s="14" t="s">
        <v>35</v>
      </c>
      <c r="D478" s="14" t="s">
        <v>36</v>
      </c>
      <c r="E478" s="14" t="s">
        <v>25</v>
      </c>
      <c r="F478" s="14" t="s">
        <v>20</v>
      </c>
      <c r="G478" s="7">
        <v>2</v>
      </c>
      <c r="H478" s="7">
        <v>500</v>
      </c>
      <c r="I478" s="9">
        <v>0</v>
      </c>
      <c r="J478" s="10">
        <f>SALCE[[#This Row],[After_Discount]]*SALCE[[#This Row],[Tax_%]]/100</f>
        <v>1.4</v>
      </c>
      <c r="K478" s="11">
        <v>0.14000000000000001</v>
      </c>
      <c r="L478" s="10">
        <f>SALCE[[#This Row],[Quantity]]*SALCE[[#This Row],[Unit_Price]]</f>
        <v>1000</v>
      </c>
      <c r="M478" s="10">
        <f>SALCE[[#This Row],[Gross_Sales]]*SALCE[[#This Row],[Discount_%]]/100</f>
        <v>0</v>
      </c>
      <c r="N478" s="10">
        <f>SALCE[[#This Row],[After_Discount]]+SALCE[[#This Row],[Tax_Value]]</f>
        <v>1001.4</v>
      </c>
      <c r="O478" s="10">
        <f>SALCE[[#This Row],[Gross_Sales]]*70%</f>
        <v>700</v>
      </c>
      <c r="P478" s="10">
        <f>SALCE[[#This Row],[Net_Sales]]-SALCE[[#This Row],[Cost_Price]]</f>
        <v>301.39999999999998</v>
      </c>
      <c r="Q478" s="10">
        <f>SALCE[[#This Row],[Gross_Sales]]-SALCE[[#This Row],[Discount_Value]]</f>
        <v>1000</v>
      </c>
      <c r="R478" s="15" t="s">
        <v>61</v>
      </c>
      <c r="S478" s="15" t="s">
        <v>26</v>
      </c>
      <c r="T478" s="15" t="s">
        <v>27</v>
      </c>
    </row>
    <row r="479" spans="1:20" s="12" customFormat="1" ht="30" customHeight="1" thickTop="1" thickBot="1" x14ac:dyDescent="0.4">
      <c r="A479" s="7">
        <v>1478</v>
      </c>
      <c r="B479" s="8">
        <v>45770</v>
      </c>
      <c r="C479" s="14" t="s">
        <v>23</v>
      </c>
      <c r="D479" s="14" t="s">
        <v>18</v>
      </c>
      <c r="E479" s="14" t="s">
        <v>25</v>
      </c>
      <c r="F479" s="14" t="s">
        <v>20</v>
      </c>
      <c r="G479" s="7">
        <v>3</v>
      </c>
      <c r="H479" s="7">
        <v>500</v>
      </c>
      <c r="I479" s="9">
        <v>15</v>
      </c>
      <c r="J479" s="10">
        <f>SALCE[[#This Row],[After_Discount]]*SALCE[[#This Row],[Tax_%]]/100</f>
        <v>1.7850000000000004</v>
      </c>
      <c r="K479" s="11">
        <v>0.14000000000000001</v>
      </c>
      <c r="L479" s="10">
        <f>SALCE[[#This Row],[Quantity]]*SALCE[[#This Row],[Unit_Price]]</f>
        <v>1500</v>
      </c>
      <c r="M479" s="10">
        <f>SALCE[[#This Row],[Gross_Sales]]*SALCE[[#This Row],[Discount_%]]/100</f>
        <v>225</v>
      </c>
      <c r="N479" s="10">
        <f>SALCE[[#This Row],[After_Discount]]+SALCE[[#This Row],[Tax_Value]]</f>
        <v>1276.7850000000001</v>
      </c>
      <c r="O479" s="10">
        <f>SALCE[[#This Row],[Gross_Sales]]*70%</f>
        <v>1050</v>
      </c>
      <c r="P479" s="10">
        <f>SALCE[[#This Row],[Net_Sales]]-SALCE[[#This Row],[Cost_Price]]</f>
        <v>226.78500000000008</v>
      </c>
      <c r="Q479" s="10">
        <f>SALCE[[#This Row],[Gross_Sales]]-SALCE[[#This Row],[Discount_Value]]</f>
        <v>1275</v>
      </c>
      <c r="R479" s="15" t="s">
        <v>60</v>
      </c>
      <c r="S479" s="15" t="s">
        <v>26</v>
      </c>
      <c r="T479" s="15" t="s">
        <v>22</v>
      </c>
    </row>
    <row r="480" spans="1:20" s="12" customFormat="1" ht="30" customHeight="1" thickTop="1" thickBot="1" x14ac:dyDescent="0.4">
      <c r="A480" s="7">
        <v>1479</v>
      </c>
      <c r="B480" s="8">
        <v>45771</v>
      </c>
      <c r="C480" s="14" t="s">
        <v>35</v>
      </c>
      <c r="D480" s="14" t="s">
        <v>41</v>
      </c>
      <c r="E480" s="14" t="s">
        <v>34</v>
      </c>
      <c r="F480" s="14" t="s">
        <v>32</v>
      </c>
      <c r="G480" s="7">
        <v>2</v>
      </c>
      <c r="H480" s="7">
        <v>4000</v>
      </c>
      <c r="I480" s="9">
        <v>0</v>
      </c>
      <c r="J480" s="10">
        <f>SALCE[[#This Row],[After_Discount]]*SALCE[[#This Row],[Tax_%]]/100</f>
        <v>11.2</v>
      </c>
      <c r="K480" s="11">
        <v>0.14000000000000001</v>
      </c>
      <c r="L480" s="10">
        <f>SALCE[[#This Row],[Quantity]]*SALCE[[#This Row],[Unit_Price]]</f>
        <v>8000</v>
      </c>
      <c r="M480" s="10">
        <f>SALCE[[#This Row],[Gross_Sales]]*SALCE[[#This Row],[Discount_%]]/100</f>
        <v>0</v>
      </c>
      <c r="N480" s="10">
        <f>SALCE[[#This Row],[After_Discount]]+SALCE[[#This Row],[Tax_Value]]</f>
        <v>8011.2</v>
      </c>
      <c r="O480" s="10">
        <f>SALCE[[#This Row],[Gross_Sales]]*70%</f>
        <v>5600</v>
      </c>
      <c r="P480" s="10">
        <f>SALCE[[#This Row],[Net_Sales]]-SALCE[[#This Row],[Cost_Price]]</f>
        <v>2411.1999999999998</v>
      </c>
      <c r="Q480" s="10">
        <f>SALCE[[#This Row],[Gross_Sales]]-SALCE[[#This Row],[Discount_Value]]</f>
        <v>8000</v>
      </c>
      <c r="R480" s="15" t="s">
        <v>60</v>
      </c>
      <c r="S480" s="15" t="s">
        <v>21</v>
      </c>
      <c r="T480" s="15" t="s">
        <v>27</v>
      </c>
    </row>
    <row r="481" spans="1:20" s="12" customFormat="1" ht="30" customHeight="1" thickTop="1" thickBot="1" x14ac:dyDescent="0.4">
      <c r="A481" s="7">
        <v>1480</v>
      </c>
      <c r="B481" s="8">
        <v>45772</v>
      </c>
      <c r="C481" s="14" t="s">
        <v>28</v>
      </c>
      <c r="D481" s="14" t="s">
        <v>41</v>
      </c>
      <c r="E481" s="14" t="s">
        <v>25</v>
      </c>
      <c r="F481" s="14" t="s">
        <v>20</v>
      </c>
      <c r="G481" s="7">
        <v>6</v>
      </c>
      <c r="H481" s="7">
        <v>500</v>
      </c>
      <c r="I481" s="9">
        <v>15</v>
      </c>
      <c r="J481" s="10">
        <f>SALCE[[#This Row],[After_Discount]]*SALCE[[#This Row],[Tax_%]]/100</f>
        <v>3.5700000000000007</v>
      </c>
      <c r="K481" s="11">
        <v>0.14000000000000001</v>
      </c>
      <c r="L481" s="10">
        <f>SALCE[[#This Row],[Quantity]]*SALCE[[#This Row],[Unit_Price]]</f>
        <v>3000</v>
      </c>
      <c r="M481" s="10">
        <f>SALCE[[#This Row],[Gross_Sales]]*SALCE[[#This Row],[Discount_%]]/100</f>
        <v>450</v>
      </c>
      <c r="N481" s="10">
        <f>SALCE[[#This Row],[After_Discount]]+SALCE[[#This Row],[Tax_Value]]</f>
        <v>2553.5700000000002</v>
      </c>
      <c r="O481" s="10">
        <f>SALCE[[#This Row],[Gross_Sales]]*70%</f>
        <v>2100</v>
      </c>
      <c r="P481" s="10">
        <f>SALCE[[#This Row],[Net_Sales]]-SALCE[[#This Row],[Cost_Price]]</f>
        <v>453.57000000000016</v>
      </c>
      <c r="Q481" s="10">
        <f>SALCE[[#This Row],[Gross_Sales]]-SALCE[[#This Row],[Discount_Value]]</f>
        <v>2550</v>
      </c>
      <c r="R481" s="15" t="s">
        <v>61</v>
      </c>
      <c r="S481" s="15" t="s">
        <v>26</v>
      </c>
      <c r="T481" s="15" t="s">
        <v>27</v>
      </c>
    </row>
    <row r="482" spans="1:20" s="12" customFormat="1" ht="30" customHeight="1" thickTop="1" thickBot="1" x14ac:dyDescent="0.4">
      <c r="A482" s="7">
        <v>1481</v>
      </c>
      <c r="B482" s="8">
        <v>45773</v>
      </c>
      <c r="C482" s="14" t="s">
        <v>30</v>
      </c>
      <c r="D482" s="14" t="s">
        <v>36</v>
      </c>
      <c r="E482" s="14" t="s">
        <v>40</v>
      </c>
      <c r="F482" s="14" t="s">
        <v>20</v>
      </c>
      <c r="G482" s="7">
        <v>8</v>
      </c>
      <c r="H482" s="7">
        <v>800</v>
      </c>
      <c r="I482" s="9">
        <v>10</v>
      </c>
      <c r="J482" s="10">
        <f>SALCE[[#This Row],[After_Discount]]*SALCE[[#This Row],[Tax_%]]/100</f>
        <v>8.0640000000000001</v>
      </c>
      <c r="K482" s="11">
        <v>0.14000000000000001</v>
      </c>
      <c r="L482" s="10">
        <f>SALCE[[#This Row],[Quantity]]*SALCE[[#This Row],[Unit_Price]]</f>
        <v>6400</v>
      </c>
      <c r="M482" s="10">
        <f>SALCE[[#This Row],[Gross_Sales]]*SALCE[[#This Row],[Discount_%]]/100</f>
        <v>640</v>
      </c>
      <c r="N482" s="10">
        <f>SALCE[[#This Row],[After_Discount]]+SALCE[[#This Row],[Tax_Value]]</f>
        <v>5768.0640000000003</v>
      </c>
      <c r="O482" s="10">
        <f>SALCE[[#This Row],[Gross_Sales]]*70%</f>
        <v>4480</v>
      </c>
      <c r="P482" s="10">
        <f>SALCE[[#This Row],[Net_Sales]]-SALCE[[#This Row],[Cost_Price]]</f>
        <v>1288.0640000000003</v>
      </c>
      <c r="Q482" s="10">
        <f>SALCE[[#This Row],[Gross_Sales]]-SALCE[[#This Row],[Discount_Value]]</f>
        <v>5760</v>
      </c>
      <c r="R482" s="15" t="s">
        <v>59</v>
      </c>
      <c r="S482" s="15" t="s">
        <v>21</v>
      </c>
      <c r="T482" s="15" t="s">
        <v>22</v>
      </c>
    </row>
    <row r="483" spans="1:20" s="12" customFormat="1" ht="30" customHeight="1" thickTop="1" thickBot="1" x14ac:dyDescent="0.4">
      <c r="A483" s="7">
        <v>1482</v>
      </c>
      <c r="B483" s="8">
        <v>45774</v>
      </c>
      <c r="C483" s="14" t="s">
        <v>23</v>
      </c>
      <c r="D483" s="14" t="s">
        <v>29</v>
      </c>
      <c r="E483" s="14" t="s">
        <v>33</v>
      </c>
      <c r="F483" s="14" t="s">
        <v>32</v>
      </c>
      <c r="G483" s="7">
        <v>6</v>
      </c>
      <c r="H483" s="7">
        <v>6000</v>
      </c>
      <c r="I483" s="9">
        <v>0</v>
      </c>
      <c r="J483" s="10">
        <f>SALCE[[#This Row],[After_Discount]]*SALCE[[#This Row],[Tax_%]]/100</f>
        <v>50.400000000000006</v>
      </c>
      <c r="K483" s="11">
        <v>0.14000000000000001</v>
      </c>
      <c r="L483" s="10">
        <f>SALCE[[#This Row],[Quantity]]*SALCE[[#This Row],[Unit_Price]]</f>
        <v>36000</v>
      </c>
      <c r="M483" s="10">
        <f>SALCE[[#This Row],[Gross_Sales]]*SALCE[[#This Row],[Discount_%]]/100</f>
        <v>0</v>
      </c>
      <c r="N483" s="10">
        <f>SALCE[[#This Row],[After_Discount]]+SALCE[[#This Row],[Tax_Value]]</f>
        <v>36050.400000000001</v>
      </c>
      <c r="O483" s="10">
        <f>SALCE[[#This Row],[Gross_Sales]]*70%</f>
        <v>25200</v>
      </c>
      <c r="P483" s="10">
        <f>SALCE[[#This Row],[Net_Sales]]-SALCE[[#This Row],[Cost_Price]]</f>
        <v>10850.400000000001</v>
      </c>
      <c r="Q483" s="10">
        <f>SALCE[[#This Row],[Gross_Sales]]-SALCE[[#This Row],[Discount_Value]]</f>
        <v>36000</v>
      </c>
      <c r="R483" s="15" t="s">
        <v>51</v>
      </c>
      <c r="S483" s="15" t="s">
        <v>21</v>
      </c>
      <c r="T483" s="15" t="s">
        <v>27</v>
      </c>
    </row>
    <row r="484" spans="1:20" s="12" customFormat="1" ht="30" customHeight="1" thickTop="1" thickBot="1" x14ac:dyDescent="0.4">
      <c r="A484" s="7">
        <v>1483</v>
      </c>
      <c r="B484" s="8">
        <v>45775</v>
      </c>
      <c r="C484" s="14" t="s">
        <v>35</v>
      </c>
      <c r="D484" s="14" t="s">
        <v>41</v>
      </c>
      <c r="E484" s="14" t="s">
        <v>40</v>
      </c>
      <c r="F484" s="14" t="s">
        <v>20</v>
      </c>
      <c r="G484" s="7">
        <v>9</v>
      </c>
      <c r="H484" s="7">
        <v>800</v>
      </c>
      <c r="I484" s="9">
        <v>15</v>
      </c>
      <c r="J484" s="10">
        <f>SALCE[[#This Row],[After_Discount]]*SALCE[[#This Row],[Tax_%]]/100</f>
        <v>8.5680000000000014</v>
      </c>
      <c r="K484" s="11">
        <v>0.14000000000000001</v>
      </c>
      <c r="L484" s="10">
        <f>SALCE[[#This Row],[Quantity]]*SALCE[[#This Row],[Unit_Price]]</f>
        <v>7200</v>
      </c>
      <c r="M484" s="10">
        <f>SALCE[[#This Row],[Gross_Sales]]*SALCE[[#This Row],[Discount_%]]/100</f>
        <v>1080</v>
      </c>
      <c r="N484" s="10">
        <f>SALCE[[#This Row],[After_Discount]]+SALCE[[#This Row],[Tax_Value]]</f>
        <v>6128.5680000000002</v>
      </c>
      <c r="O484" s="10">
        <f>SALCE[[#This Row],[Gross_Sales]]*70%</f>
        <v>5040</v>
      </c>
      <c r="P484" s="10">
        <f>SALCE[[#This Row],[Net_Sales]]-SALCE[[#This Row],[Cost_Price]]</f>
        <v>1088.5680000000002</v>
      </c>
      <c r="Q484" s="10">
        <f>SALCE[[#This Row],[Gross_Sales]]-SALCE[[#This Row],[Discount_Value]]</f>
        <v>6120</v>
      </c>
      <c r="R484" s="15" t="s">
        <v>51</v>
      </c>
      <c r="S484" s="15" t="s">
        <v>21</v>
      </c>
      <c r="T484" s="15" t="s">
        <v>27</v>
      </c>
    </row>
    <row r="485" spans="1:20" s="12" customFormat="1" ht="30" customHeight="1" thickTop="1" thickBot="1" x14ac:dyDescent="0.4">
      <c r="A485" s="7">
        <v>1484</v>
      </c>
      <c r="B485" s="8">
        <v>45776</v>
      </c>
      <c r="C485" s="14" t="s">
        <v>35</v>
      </c>
      <c r="D485" s="14" t="s">
        <v>24</v>
      </c>
      <c r="E485" s="14" t="s">
        <v>19</v>
      </c>
      <c r="F485" s="14" t="s">
        <v>20</v>
      </c>
      <c r="G485" s="7">
        <v>3</v>
      </c>
      <c r="H485" s="7">
        <v>300</v>
      </c>
      <c r="I485" s="9">
        <v>10</v>
      </c>
      <c r="J485" s="10">
        <f>SALCE[[#This Row],[After_Discount]]*SALCE[[#This Row],[Tax_%]]/100</f>
        <v>1.1340000000000001</v>
      </c>
      <c r="K485" s="11">
        <v>0.14000000000000001</v>
      </c>
      <c r="L485" s="10">
        <f>SALCE[[#This Row],[Quantity]]*SALCE[[#This Row],[Unit_Price]]</f>
        <v>900</v>
      </c>
      <c r="M485" s="10">
        <f>SALCE[[#This Row],[Gross_Sales]]*SALCE[[#This Row],[Discount_%]]/100</f>
        <v>90</v>
      </c>
      <c r="N485" s="10">
        <f>SALCE[[#This Row],[After_Discount]]+SALCE[[#This Row],[Tax_Value]]</f>
        <v>811.13400000000001</v>
      </c>
      <c r="O485" s="10">
        <f>SALCE[[#This Row],[Gross_Sales]]*70%</f>
        <v>630</v>
      </c>
      <c r="P485" s="10">
        <f>SALCE[[#This Row],[Net_Sales]]-SALCE[[#This Row],[Cost_Price]]</f>
        <v>181.13400000000001</v>
      </c>
      <c r="Q485" s="10">
        <f>SALCE[[#This Row],[Gross_Sales]]-SALCE[[#This Row],[Discount_Value]]</f>
        <v>810</v>
      </c>
      <c r="R485" s="15" t="s">
        <v>56</v>
      </c>
      <c r="S485" s="15" t="s">
        <v>26</v>
      </c>
      <c r="T485" s="15" t="s">
        <v>22</v>
      </c>
    </row>
    <row r="486" spans="1:20" s="12" customFormat="1" ht="30" customHeight="1" thickTop="1" thickBot="1" x14ac:dyDescent="0.4">
      <c r="A486" s="7">
        <v>1485</v>
      </c>
      <c r="B486" s="8">
        <v>45777</v>
      </c>
      <c r="C486" s="14" t="s">
        <v>35</v>
      </c>
      <c r="D486" s="14" t="s">
        <v>41</v>
      </c>
      <c r="E486" s="14" t="s">
        <v>33</v>
      </c>
      <c r="F486" s="14" t="s">
        <v>32</v>
      </c>
      <c r="G486" s="7">
        <v>5</v>
      </c>
      <c r="H486" s="7">
        <v>6000</v>
      </c>
      <c r="I486" s="9">
        <v>15</v>
      </c>
      <c r="J486" s="10">
        <f>SALCE[[#This Row],[After_Discount]]*SALCE[[#This Row],[Tax_%]]/100</f>
        <v>35.700000000000003</v>
      </c>
      <c r="K486" s="11">
        <v>0.14000000000000001</v>
      </c>
      <c r="L486" s="10">
        <f>SALCE[[#This Row],[Quantity]]*SALCE[[#This Row],[Unit_Price]]</f>
        <v>30000</v>
      </c>
      <c r="M486" s="10">
        <f>SALCE[[#This Row],[Gross_Sales]]*SALCE[[#This Row],[Discount_%]]/100</f>
        <v>4500</v>
      </c>
      <c r="N486" s="10">
        <f>SALCE[[#This Row],[After_Discount]]+SALCE[[#This Row],[Tax_Value]]</f>
        <v>25535.7</v>
      </c>
      <c r="O486" s="10">
        <f>SALCE[[#This Row],[Gross_Sales]]*70%</f>
        <v>21000</v>
      </c>
      <c r="P486" s="10">
        <f>SALCE[[#This Row],[Net_Sales]]-SALCE[[#This Row],[Cost_Price]]</f>
        <v>4535.7000000000007</v>
      </c>
      <c r="Q486" s="10">
        <f>SALCE[[#This Row],[Gross_Sales]]-SALCE[[#This Row],[Discount_Value]]</f>
        <v>25500</v>
      </c>
      <c r="R486" s="15" t="s">
        <v>49</v>
      </c>
      <c r="S486" s="15" t="s">
        <v>21</v>
      </c>
      <c r="T486" s="15" t="s">
        <v>22</v>
      </c>
    </row>
    <row r="487" spans="1:20" s="12" customFormat="1" ht="30" customHeight="1" thickTop="1" thickBot="1" x14ac:dyDescent="0.4">
      <c r="A487" s="7">
        <v>1486</v>
      </c>
      <c r="B487" s="8">
        <v>45778</v>
      </c>
      <c r="C487" s="14" t="s">
        <v>28</v>
      </c>
      <c r="D487" s="14" t="s">
        <v>29</v>
      </c>
      <c r="E487" s="14" t="s">
        <v>34</v>
      </c>
      <c r="F487" s="14" t="s">
        <v>32</v>
      </c>
      <c r="G487" s="7">
        <v>5</v>
      </c>
      <c r="H487" s="7">
        <v>4000</v>
      </c>
      <c r="I487" s="9">
        <v>0</v>
      </c>
      <c r="J487" s="10">
        <f>SALCE[[#This Row],[After_Discount]]*SALCE[[#This Row],[Tax_%]]/100</f>
        <v>28.000000000000004</v>
      </c>
      <c r="K487" s="11">
        <v>0.14000000000000001</v>
      </c>
      <c r="L487" s="10">
        <f>SALCE[[#This Row],[Quantity]]*SALCE[[#This Row],[Unit_Price]]</f>
        <v>20000</v>
      </c>
      <c r="M487" s="10">
        <f>SALCE[[#This Row],[Gross_Sales]]*SALCE[[#This Row],[Discount_%]]/100</f>
        <v>0</v>
      </c>
      <c r="N487" s="10">
        <f>SALCE[[#This Row],[After_Discount]]+SALCE[[#This Row],[Tax_Value]]</f>
        <v>20028</v>
      </c>
      <c r="O487" s="10">
        <f>SALCE[[#This Row],[Gross_Sales]]*70%</f>
        <v>14000</v>
      </c>
      <c r="P487" s="10">
        <f>SALCE[[#This Row],[Net_Sales]]-SALCE[[#This Row],[Cost_Price]]</f>
        <v>6028</v>
      </c>
      <c r="Q487" s="10">
        <f>SALCE[[#This Row],[Gross_Sales]]-SALCE[[#This Row],[Discount_Value]]</f>
        <v>20000</v>
      </c>
      <c r="R487" s="15" t="s">
        <v>62</v>
      </c>
      <c r="S487" s="15" t="s">
        <v>21</v>
      </c>
      <c r="T487" s="15" t="s">
        <v>22</v>
      </c>
    </row>
    <row r="488" spans="1:20" s="12" customFormat="1" ht="30" customHeight="1" thickTop="1" thickBot="1" x14ac:dyDescent="0.4">
      <c r="A488" s="7">
        <v>1487</v>
      </c>
      <c r="B488" s="8">
        <v>45779</v>
      </c>
      <c r="C488" s="14" t="s">
        <v>28</v>
      </c>
      <c r="D488" s="14" t="s">
        <v>18</v>
      </c>
      <c r="E488" s="14" t="s">
        <v>33</v>
      </c>
      <c r="F488" s="14" t="s">
        <v>32</v>
      </c>
      <c r="G488" s="7">
        <v>5</v>
      </c>
      <c r="H488" s="7">
        <v>6000</v>
      </c>
      <c r="I488" s="9">
        <v>15</v>
      </c>
      <c r="J488" s="10">
        <f>SALCE[[#This Row],[After_Discount]]*SALCE[[#This Row],[Tax_%]]/100</f>
        <v>35.700000000000003</v>
      </c>
      <c r="K488" s="11">
        <v>0.14000000000000001</v>
      </c>
      <c r="L488" s="10">
        <f>SALCE[[#This Row],[Quantity]]*SALCE[[#This Row],[Unit_Price]]</f>
        <v>30000</v>
      </c>
      <c r="M488" s="10">
        <f>SALCE[[#This Row],[Gross_Sales]]*SALCE[[#This Row],[Discount_%]]/100</f>
        <v>4500</v>
      </c>
      <c r="N488" s="10">
        <f>SALCE[[#This Row],[After_Discount]]+SALCE[[#This Row],[Tax_Value]]</f>
        <v>25535.7</v>
      </c>
      <c r="O488" s="10">
        <f>SALCE[[#This Row],[Gross_Sales]]*70%</f>
        <v>21000</v>
      </c>
      <c r="P488" s="10">
        <f>SALCE[[#This Row],[Net_Sales]]-SALCE[[#This Row],[Cost_Price]]</f>
        <v>4535.7000000000007</v>
      </c>
      <c r="Q488" s="10">
        <f>SALCE[[#This Row],[Gross_Sales]]-SALCE[[#This Row],[Discount_Value]]</f>
        <v>25500</v>
      </c>
      <c r="R488" s="15" t="s">
        <v>61</v>
      </c>
      <c r="S488" s="15" t="s">
        <v>37</v>
      </c>
      <c r="T488" s="15" t="s">
        <v>27</v>
      </c>
    </row>
    <row r="489" spans="1:20" s="12" customFormat="1" ht="30" customHeight="1" thickTop="1" thickBot="1" x14ac:dyDescent="0.4">
      <c r="A489" s="7">
        <v>1488</v>
      </c>
      <c r="B489" s="8">
        <v>45780</v>
      </c>
      <c r="C489" s="14" t="s">
        <v>23</v>
      </c>
      <c r="D489" s="14" t="s">
        <v>36</v>
      </c>
      <c r="E489" s="14" t="s">
        <v>34</v>
      </c>
      <c r="F489" s="14" t="s">
        <v>32</v>
      </c>
      <c r="G489" s="7">
        <v>8</v>
      </c>
      <c r="H489" s="7">
        <v>4000</v>
      </c>
      <c r="I489" s="9">
        <v>10</v>
      </c>
      <c r="J489" s="10">
        <f>SALCE[[#This Row],[After_Discount]]*SALCE[[#This Row],[Tax_%]]/100</f>
        <v>40.320000000000007</v>
      </c>
      <c r="K489" s="11">
        <v>0.14000000000000001</v>
      </c>
      <c r="L489" s="10">
        <f>SALCE[[#This Row],[Quantity]]*SALCE[[#This Row],[Unit_Price]]</f>
        <v>32000</v>
      </c>
      <c r="M489" s="10">
        <f>SALCE[[#This Row],[Gross_Sales]]*SALCE[[#This Row],[Discount_%]]/100</f>
        <v>3200</v>
      </c>
      <c r="N489" s="10">
        <f>SALCE[[#This Row],[After_Discount]]+SALCE[[#This Row],[Tax_Value]]</f>
        <v>28840.32</v>
      </c>
      <c r="O489" s="10">
        <f>SALCE[[#This Row],[Gross_Sales]]*70%</f>
        <v>22400</v>
      </c>
      <c r="P489" s="10">
        <f>SALCE[[#This Row],[Net_Sales]]-SALCE[[#This Row],[Cost_Price]]</f>
        <v>6440.32</v>
      </c>
      <c r="Q489" s="10">
        <f>SALCE[[#This Row],[Gross_Sales]]-SALCE[[#This Row],[Discount_Value]]</f>
        <v>28800</v>
      </c>
      <c r="R489" s="15" t="s">
        <v>57</v>
      </c>
      <c r="S489" s="15" t="s">
        <v>21</v>
      </c>
      <c r="T489" s="15" t="s">
        <v>22</v>
      </c>
    </row>
    <row r="490" spans="1:20" s="12" customFormat="1" ht="30" customHeight="1" thickTop="1" thickBot="1" x14ac:dyDescent="0.4">
      <c r="A490" s="7">
        <v>1489</v>
      </c>
      <c r="B490" s="8">
        <v>45781</v>
      </c>
      <c r="C490" s="14" t="s">
        <v>30</v>
      </c>
      <c r="D490" s="14" t="s">
        <v>24</v>
      </c>
      <c r="E490" s="14" t="s">
        <v>19</v>
      </c>
      <c r="F490" s="14" t="s">
        <v>20</v>
      </c>
      <c r="G490" s="7">
        <v>4</v>
      </c>
      <c r="H490" s="7">
        <v>300</v>
      </c>
      <c r="I490" s="9">
        <v>5</v>
      </c>
      <c r="J490" s="10">
        <f>SALCE[[#This Row],[After_Discount]]*SALCE[[#This Row],[Tax_%]]/100</f>
        <v>1.5960000000000003</v>
      </c>
      <c r="K490" s="11">
        <v>0.14000000000000001</v>
      </c>
      <c r="L490" s="10">
        <f>SALCE[[#This Row],[Quantity]]*SALCE[[#This Row],[Unit_Price]]</f>
        <v>1200</v>
      </c>
      <c r="M490" s="10">
        <f>SALCE[[#This Row],[Gross_Sales]]*SALCE[[#This Row],[Discount_%]]/100</f>
        <v>60</v>
      </c>
      <c r="N490" s="10">
        <f>SALCE[[#This Row],[After_Discount]]+SALCE[[#This Row],[Tax_Value]]</f>
        <v>1141.596</v>
      </c>
      <c r="O490" s="10">
        <f>SALCE[[#This Row],[Gross_Sales]]*70%</f>
        <v>840</v>
      </c>
      <c r="P490" s="10">
        <f>SALCE[[#This Row],[Net_Sales]]-SALCE[[#This Row],[Cost_Price]]</f>
        <v>301.596</v>
      </c>
      <c r="Q490" s="10">
        <f>SALCE[[#This Row],[Gross_Sales]]-SALCE[[#This Row],[Discount_Value]]</f>
        <v>1140</v>
      </c>
      <c r="R490" s="15" t="s">
        <v>60</v>
      </c>
      <c r="S490" s="15" t="s">
        <v>37</v>
      </c>
      <c r="T490" s="15" t="s">
        <v>22</v>
      </c>
    </row>
    <row r="491" spans="1:20" s="12" customFormat="1" ht="30" customHeight="1" thickTop="1" thickBot="1" x14ac:dyDescent="0.4">
      <c r="A491" s="7">
        <v>1490</v>
      </c>
      <c r="B491" s="8">
        <v>45782</v>
      </c>
      <c r="C491" s="14" t="s">
        <v>39</v>
      </c>
      <c r="D491" s="14" t="s">
        <v>24</v>
      </c>
      <c r="E491" s="14" t="s">
        <v>25</v>
      </c>
      <c r="F491" s="14" t="s">
        <v>20</v>
      </c>
      <c r="G491" s="7">
        <v>8</v>
      </c>
      <c r="H491" s="7">
        <v>500</v>
      </c>
      <c r="I491" s="9">
        <v>0</v>
      </c>
      <c r="J491" s="10">
        <f>SALCE[[#This Row],[After_Discount]]*SALCE[[#This Row],[Tax_%]]/100</f>
        <v>5.6</v>
      </c>
      <c r="K491" s="11">
        <v>0.14000000000000001</v>
      </c>
      <c r="L491" s="10">
        <f>SALCE[[#This Row],[Quantity]]*SALCE[[#This Row],[Unit_Price]]</f>
        <v>4000</v>
      </c>
      <c r="M491" s="10">
        <f>SALCE[[#This Row],[Gross_Sales]]*SALCE[[#This Row],[Discount_%]]/100</f>
        <v>0</v>
      </c>
      <c r="N491" s="10">
        <f>SALCE[[#This Row],[After_Discount]]+SALCE[[#This Row],[Tax_Value]]</f>
        <v>4005.6</v>
      </c>
      <c r="O491" s="10">
        <f>SALCE[[#This Row],[Gross_Sales]]*70%</f>
        <v>2800</v>
      </c>
      <c r="P491" s="10">
        <f>SALCE[[#This Row],[Net_Sales]]-SALCE[[#This Row],[Cost_Price]]</f>
        <v>1205.5999999999999</v>
      </c>
      <c r="Q491" s="10">
        <f>SALCE[[#This Row],[Gross_Sales]]-SALCE[[#This Row],[Discount_Value]]</f>
        <v>4000</v>
      </c>
      <c r="R491" s="15" t="s">
        <v>60</v>
      </c>
      <c r="S491" s="15" t="s">
        <v>21</v>
      </c>
      <c r="T491" s="15" t="s">
        <v>27</v>
      </c>
    </row>
    <row r="492" spans="1:20" s="12" customFormat="1" ht="30" customHeight="1" thickTop="1" thickBot="1" x14ac:dyDescent="0.4">
      <c r="A492" s="7">
        <v>1491</v>
      </c>
      <c r="B492" s="8">
        <v>45783</v>
      </c>
      <c r="C492" s="14" t="s">
        <v>35</v>
      </c>
      <c r="D492" s="14" t="s">
        <v>18</v>
      </c>
      <c r="E492" s="14" t="s">
        <v>31</v>
      </c>
      <c r="F492" s="14" t="s">
        <v>32</v>
      </c>
      <c r="G492" s="7">
        <v>7</v>
      </c>
      <c r="H492" s="7">
        <v>15000</v>
      </c>
      <c r="I492" s="9">
        <v>0</v>
      </c>
      <c r="J492" s="10">
        <f>SALCE[[#This Row],[After_Discount]]*SALCE[[#This Row],[Tax_%]]/100</f>
        <v>147.00000000000003</v>
      </c>
      <c r="K492" s="11">
        <v>0.14000000000000001</v>
      </c>
      <c r="L492" s="10">
        <f>SALCE[[#This Row],[Quantity]]*SALCE[[#This Row],[Unit_Price]]</f>
        <v>105000</v>
      </c>
      <c r="M492" s="10">
        <f>SALCE[[#This Row],[Gross_Sales]]*SALCE[[#This Row],[Discount_%]]/100</f>
        <v>0</v>
      </c>
      <c r="N492" s="10">
        <f>SALCE[[#This Row],[After_Discount]]+SALCE[[#This Row],[Tax_Value]]</f>
        <v>105147</v>
      </c>
      <c r="O492" s="10">
        <f>SALCE[[#This Row],[Gross_Sales]]*70%</f>
        <v>73500</v>
      </c>
      <c r="P492" s="10">
        <f>SALCE[[#This Row],[Net_Sales]]-SALCE[[#This Row],[Cost_Price]]</f>
        <v>31647</v>
      </c>
      <c r="Q492" s="10">
        <f>SALCE[[#This Row],[Gross_Sales]]-SALCE[[#This Row],[Discount_Value]]</f>
        <v>105000</v>
      </c>
      <c r="R492" s="15" t="s">
        <v>60</v>
      </c>
      <c r="S492" s="15" t="s">
        <v>37</v>
      </c>
      <c r="T492" s="15" t="s">
        <v>22</v>
      </c>
    </row>
    <row r="493" spans="1:20" s="12" customFormat="1" ht="30" customHeight="1" thickTop="1" thickBot="1" x14ac:dyDescent="0.4">
      <c r="A493" s="7">
        <v>1492</v>
      </c>
      <c r="B493" s="8">
        <v>45784</v>
      </c>
      <c r="C493" s="14" t="s">
        <v>23</v>
      </c>
      <c r="D493" s="14" t="s">
        <v>38</v>
      </c>
      <c r="E493" s="14" t="s">
        <v>34</v>
      </c>
      <c r="F493" s="14" t="s">
        <v>32</v>
      </c>
      <c r="G493" s="7">
        <v>9</v>
      </c>
      <c r="H493" s="7">
        <v>4000</v>
      </c>
      <c r="I493" s="9">
        <v>0</v>
      </c>
      <c r="J493" s="10">
        <f>SALCE[[#This Row],[After_Discount]]*SALCE[[#This Row],[Tax_%]]/100</f>
        <v>50.400000000000006</v>
      </c>
      <c r="K493" s="11">
        <v>0.14000000000000001</v>
      </c>
      <c r="L493" s="10">
        <f>SALCE[[#This Row],[Quantity]]*SALCE[[#This Row],[Unit_Price]]</f>
        <v>36000</v>
      </c>
      <c r="M493" s="10">
        <f>SALCE[[#This Row],[Gross_Sales]]*SALCE[[#This Row],[Discount_%]]/100</f>
        <v>0</v>
      </c>
      <c r="N493" s="10">
        <f>SALCE[[#This Row],[After_Discount]]+SALCE[[#This Row],[Tax_Value]]</f>
        <v>36050.400000000001</v>
      </c>
      <c r="O493" s="10">
        <f>SALCE[[#This Row],[Gross_Sales]]*70%</f>
        <v>25200</v>
      </c>
      <c r="P493" s="10">
        <f>SALCE[[#This Row],[Net_Sales]]-SALCE[[#This Row],[Cost_Price]]</f>
        <v>10850.400000000001</v>
      </c>
      <c r="Q493" s="10">
        <f>SALCE[[#This Row],[Gross_Sales]]-SALCE[[#This Row],[Discount_Value]]</f>
        <v>36000</v>
      </c>
      <c r="R493" s="15" t="s">
        <v>60</v>
      </c>
      <c r="S493" s="15" t="s">
        <v>21</v>
      </c>
      <c r="T493" s="15" t="s">
        <v>22</v>
      </c>
    </row>
    <row r="494" spans="1:20" s="12" customFormat="1" ht="30" customHeight="1" thickTop="1" thickBot="1" x14ac:dyDescent="0.4">
      <c r="A494" s="7">
        <v>1493</v>
      </c>
      <c r="B494" s="8">
        <v>45785</v>
      </c>
      <c r="C494" s="14" t="s">
        <v>30</v>
      </c>
      <c r="D494" s="14" t="s">
        <v>41</v>
      </c>
      <c r="E494" s="14" t="s">
        <v>40</v>
      </c>
      <c r="F494" s="14" t="s">
        <v>20</v>
      </c>
      <c r="G494" s="7">
        <v>4</v>
      </c>
      <c r="H494" s="7">
        <v>800</v>
      </c>
      <c r="I494" s="9">
        <v>5</v>
      </c>
      <c r="J494" s="10">
        <f>SALCE[[#This Row],[After_Discount]]*SALCE[[#This Row],[Tax_%]]/100</f>
        <v>4.2560000000000002</v>
      </c>
      <c r="K494" s="11">
        <v>0.14000000000000001</v>
      </c>
      <c r="L494" s="10">
        <f>SALCE[[#This Row],[Quantity]]*SALCE[[#This Row],[Unit_Price]]</f>
        <v>3200</v>
      </c>
      <c r="M494" s="10">
        <f>SALCE[[#This Row],[Gross_Sales]]*SALCE[[#This Row],[Discount_%]]/100</f>
        <v>160</v>
      </c>
      <c r="N494" s="10">
        <f>SALCE[[#This Row],[After_Discount]]+SALCE[[#This Row],[Tax_Value]]</f>
        <v>3044.2559999999999</v>
      </c>
      <c r="O494" s="10">
        <f>SALCE[[#This Row],[Gross_Sales]]*70%</f>
        <v>2240</v>
      </c>
      <c r="P494" s="10">
        <f>SALCE[[#This Row],[Net_Sales]]-SALCE[[#This Row],[Cost_Price]]</f>
        <v>804.25599999999986</v>
      </c>
      <c r="Q494" s="10">
        <f>SALCE[[#This Row],[Gross_Sales]]-SALCE[[#This Row],[Discount_Value]]</f>
        <v>3040</v>
      </c>
      <c r="R494" s="15" t="s">
        <v>54</v>
      </c>
      <c r="S494" s="15" t="s">
        <v>21</v>
      </c>
      <c r="T494" s="15" t="s">
        <v>22</v>
      </c>
    </row>
    <row r="495" spans="1:20" s="12" customFormat="1" ht="30" customHeight="1" thickTop="1" thickBot="1" x14ac:dyDescent="0.4">
      <c r="A495" s="7">
        <v>1494</v>
      </c>
      <c r="B495" s="8">
        <v>45786</v>
      </c>
      <c r="C495" s="14" t="s">
        <v>23</v>
      </c>
      <c r="D495" s="14" t="s">
        <v>38</v>
      </c>
      <c r="E495" s="14" t="s">
        <v>31</v>
      </c>
      <c r="F495" s="14" t="s">
        <v>32</v>
      </c>
      <c r="G495" s="7">
        <v>8</v>
      </c>
      <c r="H495" s="7">
        <v>15000</v>
      </c>
      <c r="I495" s="9">
        <v>15</v>
      </c>
      <c r="J495" s="10">
        <f>SALCE[[#This Row],[After_Discount]]*SALCE[[#This Row],[Tax_%]]/100</f>
        <v>142.80000000000001</v>
      </c>
      <c r="K495" s="11">
        <v>0.14000000000000001</v>
      </c>
      <c r="L495" s="10">
        <f>SALCE[[#This Row],[Quantity]]*SALCE[[#This Row],[Unit_Price]]</f>
        <v>120000</v>
      </c>
      <c r="M495" s="10">
        <f>SALCE[[#This Row],[Gross_Sales]]*SALCE[[#This Row],[Discount_%]]/100</f>
        <v>18000</v>
      </c>
      <c r="N495" s="10">
        <f>SALCE[[#This Row],[After_Discount]]+SALCE[[#This Row],[Tax_Value]]</f>
        <v>102142.8</v>
      </c>
      <c r="O495" s="10">
        <f>SALCE[[#This Row],[Gross_Sales]]*70%</f>
        <v>84000</v>
      </c>
      <c r="P495" s="10">
        <f>SALCE[[#This Row],[Net_Sales]]-SALCE[[#This Row],[Cost_Price]]</f>
        <v>18142.800000000003</v>
      </c>
      <c r="Q495" s="10">
        <f>SALCE[[#This Row],[Gross_Sales]]-SALCE[[#This Row],[Discount_Value]]</f>
        <v>102000</v>
      </c>
      <c r="R495" s="15" t="s">
        <v>57</v>
      </c>
      <c r="S495" s="15" t="s">
        <v>26</v>
      </c>
      <c r="T495" s="15" t="s">
        <v>27</v>
      </c>
    </row>
    <row r="496" spans="1:20" s="12" customFormat="1" ht="30" customHeight="1" thickTop="1" thickBot="1" x14ac:dyDescent="0.4">
      <c r="A496" s="7">
        <v>1495</v>
      </c>
      <c r="B496" s="8">
        <v>45787</v>
      </c>
      <c r="C496" s="14" t="s">
        <v>17</v>
      </c>
      <c r="D496" s="14" t="s">
        <v>41</v>
      </c>
      <c r="E496" s="14" t="s">
        <v>34</v>
      </c>
      <c r="F496" s="14" t="s">
        <v>32</v>
      </c>
      <c r="G496" s="7">
        <v>3</v>
      </c>
      <c r="H496" s="7">
        <v>4000</v>
      </c>
      <c r="I496" s="9">
        <v>0</v>
      </c>
      <c r="J496" s="10">
        <f>SALCE[[#This Row],[After_Discount]]*SALCE[[#This Row],[Tax_%]]/100</f>
        <v>16.8</v>
      </c>
      <c r="K496" s="11">
        <v>0.14000000000000001</v>
      </c>
      <c r="L496" s="10">
        <f>SALCE[[#This Row],[Quantity]]*SALCE[[#This Row],[Unit_Price]]</f>
        <v>12000</v>
      </c>
      <c r="M496" s="10">
        <f>SALCE[[#This Row],[Gross_Sales]]*SALCE[[#This Row],[Discount_%]]/100</f>
        <v>0</v>
      </c>
      <c r="N496" s="10">
        <f>SALCE[[#This Row],[After_Discount]]+SALCE[[#This Row],[Tax_Value]]</f>
        <v>12016.8</v>
      </c>
      <c r="O496" s="10">
        <f>SALCE[[#This Row],[Gross_Sales]]*70%</f>
        <v>8400</v>
      </c>
      <c r="P496" s="10">
        <f>SALCE[[#This Row],[Net_Sales]]-SALCE[[#This Row],[Cost_Price]]</f>
        <v>3616.7999999999993</v>
      </c>
      <c r="Q496" s="10">
        <f>SALCE[[#This Row],[Gross_Sales]]-SALCE[[#This Row],[Discount_Value]]</f>
        <v>12000</v>
      </c>
      <c r="R496" s="15" t="s">
        <v>53</v>
      </c>
      <c r="S496" s="15" t="s">
        <v>37</v>
      </c>
      <c r="T496" s="15" t="s">
        <v>27</v>
      </c>
    </row>
    <row r="497" spans="1:20" s="12" customFormat="1" ht="30" customHeight="1" thickTop="1" thickBot="1" x14ac:dyDescent="0.4">
      <c r="A497" s="7">
        <v>1496</v>
      </c>
      <c r="B497" s="8">
        <v>45788</v>
      </c>
      <c r="C497" s="14" t="s">
        <v>23</v>
      </c>
      <c r="D497" s="14" t="s">
        <v>29</v>
      </c>
      <c r="E497" s="14" t="s">
        <v>31</v>
      </c>
      <c r="F497" s="14" t="s">
        <v>32</v>
      </c>
      <c r="G497" s="7">
        <v>4</v>
      </c>
      <c r="H497" s="7">
        <v>15000</v>
      </c>
      <c r="I497" s="9">
        <v>5</v>
      </c>
      <c r="J497" s="10">
        <f>SALCE[[#This Row],[After_Discount]]*SALCE[[#This Row],[Tax_%]]/100</f>
        <v>79.800000000000011</v>
      </c>
      <c r="K497" s="11">
        <v>0.14000000000000001</v>
      </c>
      <c r="L497" s="10">
        <f>SALCE[[#This Row],[Quantity]]*SALCE[[#This Row],[Unit_Price]]</f>
        <v>60000</v>
      </c>
      <c r="M497" s="10">
        <f>SALCE[[#This Row],[Gross_Sales]]*SALCE[[#This Row],[Discount_%]]/100</f>
        <v>3000</v>
      </c>
      <c r="N497" s="10">
        <f>SALCE[[#This Row],[After_Discount]]+SALCE[[#This Row],[Tax_Value]]</f>
        <v>57079.8</v>
      </c>
      <c r="O497" s="10">
        <f>SALCE[[#This Row],[Gross_Sales]]*70%</f>
        <v>42000</v>
      </c>
      <c r="P497" s="10">
        <f>SALCE[[#This Row],[Net_Sales]]-SALCE[[#This Row],[Cost_Price]]</f>
        <v>15079.800000000003</v>
      </c>
      <c r="Q497" s="10">
        <f>SALCE[[#This Row],[Gross_Sales]]-SALCE[[#This Row],[Discount_Value]]</f>
        <v>57000</v>
      </c>
      <c r="R497" s="15" t="s">
        <v>57</v>
      </c>
      <c r="S497" s="15" t="s">
        <v>26</v>
      </c>
      <c r="T497" s="15" t="s">
        <v>27</v>
      </c>
    </row>
    <row r="498" spans="1:20" s="12" customFormat="1" ht="30" customHeight="1" thickTop="1" thickBot="1" x14ac:dyDescent="0.4">
      <c r="A498" s="7">
        <v>1497</v>
      </c>
      <c r="B498" s="8">
        <v>45789</v>
      </c>
      <c r="C498" s="14" t="s">
        <v>28</v>
      </c>
      <c r="D498" s="14" t="s">
        <v>29</v>
      </c>
      <c r="E498" s="14" t="s">
        <v>33</v>
      </c>
      <c r="F498" s="14" t="s">
        <v>32</v>
      </c>
      <c r="G498" s="7">
        <v>2</v>
      </c>
      <c r="H498" s="7">
        <v>6000</v>
      </c>
      <c r="I498" s="9">
        <v>15</v>
      </c>
      <c r="J498" s="10">
        <f>SALCE[[#This Row],[After_Discount]]*SALCE[[#This Row],[Tax_%]]/100</f>
        <v>14.280000000000003</v>
      </c>
      <c r="K498" s="11">
        <v>0.14000000000000001</v>
      </c>
      <c r="L498" s="10">
        <f>SALCE[[#This Row],[Quantity]]*SALCE[[#This Row],[Unit_Price]]</f>
        <v>12000</v>
      </c>
      <c r="M498" s="10">
        <f>SALCE[[#This Row],[Gross_Sales]]*SALCE[[#This Row],[Discount_%]]/100</f>
        <v>1800</v>
      </c>
      <c r="N498" s="10">
        <f>SALCE[[#This Row],[After_Discount]]+SALCE[[#This Row],[Tax_Value]]</f>
        <v>10214.280000000001</v>
      </c>
      <c r="O498" s="10">
        <f>SALCE[[#This Row],[Gross_Sales]]*70%</f>
        <v>8400</v>
      </c>
      <c r="P498" s="10">
        <f>SALCE[[#This Row],[Net_Sales]]-SALCE[[#This Row],[Cost_Price]]</f>
        <v>1814.2800000000007</v>
      </c>
      <c r="Q498" s="10">
        <f>SALCE[[#This Row],[Gross_Sales]]-SALCE[[#This Row],[Discount_Value]]</f>
        <v>10200</v>
      </c>
      <c r="R498" s="15" t="s">
        <v>56</v>
      </c>
      <c r="S498" s="15" t="s">
        <v>21</v>
      </c>
      <c r="T498" s="15" t="s">
        <v>27</v>
      </c>
    </row>
    <row r="499" spans="1:20" s="12" customFormat="1" ht="30" customHeight="1" thickTop="1" thickBot="1" x14ac:dyDescent="0.4">
      <c r="A499" s="7">
        <v>1498</v>
      </c>
      <c r="B499" s="8">
        <v>45790</v>
      </c>
      <c r="C499" s="14" t="s">
        <v>39</v>
      </c>
      <c r="D499" s="14" t="s">
        <v>24</v>
      </c>
      <c r="E499" s="14" t="s">
        <v>25</v>
      </c>
      <c r="F499" s="14" t="s">
        <v>20</v>
      </c>
      <c r="G499" s="7">
        <v>9</v>
      </c>
      <c r="H499" s="7">
        <v>500</v>
      </c>
      <c r="I499" s="9">
        <v>10</v>
      </c>
      <c r="J499" s="10">
        <f>SALCE[[#This Row],[After_Discount]]*SALCE[[#This Row],[Tax_%]]/100</f>
        <v>5.67</v>
      </c>
      <c r="K499" s="11">
        <v>0.14000000000000001</v>
      </c>
      <c r="L499" s="10">
        <f>SALCE[[#This Row],[Quantity]]*SALCE[[#This Row],[Unit_Price]]</f>
        <v>4500</v>
      </c>
      <c r="M499" s="10">
        <f>SALCE[[#This Row],[Gross_Sales]]*SALCE[[#This Row],[Discount_%]]/100</f>
        <v>450</v>
      </c>
      <c r="N499" s="10">
        <f>SALCE[[#This Row],[After_Discount]]+SALCE[[#This Row],[Tax_Value]]</f>
        <v>4055.67</v>
      </c>
      <c r="O499" s="10">
        <f>SALCE[[#This Row],[Gross_Sales]]*70%</f>
        <v>3150</v>
      </c>
      <c r="P499" s="10">
        <f>SALCE[[#This Row],[Net_Sales]]-SALCE[[#This Row],[Cost_Price]]</f>
        <v>905.67000000000007</v>
      </c>
      <c r="Q499" s="10">
        <f>SALCE[[#This Row],[Gross_Sales]]-SALCE[[#This Row],[Discount_Value]]</f>
        <v>4050</v>
      </c>
      <c r="R499" s="15" t="s">
        <v>51</v>
      </c>
      <c r="S499" s="15" t="s">
        <v>26</v>
      </c>
      <c r="T499" s="15" t="s">
        <v>27</v>
      </c>
    </row>
    <row r="500" spans="1:20" s="12" customFormat="1" ht="30" customHeight="1" thickTop="1" thickBot="1" x14ac:dyDescent="0.4">
      <c r="A500" s="7">
        <v>1499</v>
      </c>
      <c r="B500" s="8">
        <v>45791</v>
      </c>
      <c r="C500" s="14" t="s">
        <v>17</v>
      </c>
      <c r="D500" s="14" t="s">
        <v>29</v>
      </c>
      <c r="E500" s="14" t="s">
        <v>19</v>
      </c>
      <c r="F500" s="14" t="s">
        <v>20</v>
      </c>
      <c r="G500" s="7">
        <v>4</v>
      </c>
      <c r="H500" s="7">
        <v>300</v>
      </c>
      <c r="I500" s="9">
        <v>10</v>
      </c>
      <c r="J500" s="10">
        <f>SALCE[[#This Row],[After_Discount]]*SALCE[[#This Row],[Tax_%]]/100</f>
        <v>1.5120000000000002</v>
      </c>
      <c r="K500" s="11">
        <v>0.14000000000000001</v>
      </c>
      <c r="L500" s="10">
        <f>SALCE[[#This Row],[Quantity]]*SALCE[[#This Row],[Unit_Price]]</f>
        <v>1200</v>
      </c>
      <c r="M500" s="10">
        <f>SALCE[[#This Row],[Gross_Sales]]*SALCE[[#This Row],[Discount_%]]/100</f>
        <v>120</v>
      </c>
      <c r="N500" s="10">
        <f>SALCE[[#This Row],[After_Discount]]+SALCE[[#This Row],[Tax_Value]]</f>
        <v>1081.5119999999999</v>
      </c>
      <c r="O500" s="10">
        <f>SALCE[[#This Row],[Gross_Sales]]*70%</f>
        <v>840</v>
      </c>
      <c r="P500" s="10">
        <f>SALCE[[#This Row],[Net_Sales]]-SALCE[[#This Row],[Cost_Price]]</f>
        <v>241.51199999999994</v>
      </c>
      <c r="Q500" s="10">
        <f>SALCE[[#This Row],[Gross_Sales]]-SALCE[[#This Row],[Discount_Value]]</f>
        <v>1080</v>
      </c>
      <c r="R500" s="15" t="s">
        <v>57</v>
      </c>
      <c r="S500" s="15" t="s">
        <v>26</v>
      </c>
      <c r="T500" s="15" t="s">
        <v>27</v>
      </c>
    </row>
    <row r="501" spans="1:20" s="12" customFormat="1" ht="30" customHeight="1" thickTop="1" thickBot="1" x14ac:dyDescent="0.4">
      <c r="A501" s="7">
        <v>1500</v>
      </c>
      <c r="B501" s="8">
        <v>45792</v>
      </c>
      <c r="C501" s="14" t="s">
        <v>35</v>
      </c>
      <c r="D501" s="14" t="s">
        <v>38</v>
      </c>
      <c r="E501" s="14" t="s">
        <v>40</v>
      </c>
      <c r="F501" s="14" t="s">
        <v>20</v>
      </c>
      <c r="G501" s="7">
        <v>4</v>
      </c>
      <c r="H501" s="7">
        <v>800</v>
      </c>
      <c r="I501" s="9">
        <v>10</v>
      </c>
      <c r="J501" s="10">
        <f>SALCE[[#This Row],[After_Discount]]*SALCE[[#This Row],[Tax_%]]/100</f>
        <v>4.032</v>
      </c>
      <c r="K501" s="11">
        <v>0.14000000000000001</v>
      </c>
      <c r="L501" s="10">
        <f>SALCE[[#This Row],[Quantity]]*SALCE[[#This Row],[Unit_Price]]</f>
        <v>3200</v>
      </c>
      <c r="M501" s="10">
        <f>SALCE[[#This Row],[Gross_Sales]]*SALCE[[#This Row],[Discount_%]]/100</f>
        <v>320</v>
      </c>
      <c r="N501" s="10">
        <f>SALCE[[#This Row],[After_Discount]]+SALCE[[#This Row],[Tax_Value]]</f>
        <v>2884.0320000000002</v>
      </c>
      <c r="O501" s="10">
        <f>SALCE[[#This Row],[Gross_Sales]]*70%</f>
        <v>2240</v>
      </c>
      <c r="P501" s="10">
        <f>SALCE[[#This Row],[Net_Sales]]-SALCE[[#This Row],[Cost_Price]]</f>
        <v>644.03200000000015</v>
      </c>
      <c r="Q501" s="10">
        <f>SALCE[[#This Row],[Gross_Sales]]-SALCE[[#This Row],[Discount_Value]]</f>
        <v>2880</v>
      </c>
      <c r="R501" s="15" t="s">
        <v>54</v>
      </c>
      <c r="S501" s="15" t="s">
        <v>21</v>
      </c>
      <c r="T501" s="15" t="s">
        <v>27</v>
      </c>
    </row>
    <row r="502" spans="1:20" s="12" customFormat="1" ht="30" customHeight="1" thickTop="1" thickBot="1" x14ac:dyDescent="0.4">
      <c r="A502" s="7">
        <v>1501</v>
      </c>
      <c r="B502" s="8">
        <v>45793</v>
      </c>
      <c r="C502" s="14" t="s">
        <v>35</v>
      </c>
      <c r="D502" s="14" t="s">
        <v>41</v>
      </c>
      <c r="E502" s="14" t="s">
        <v>34</v>
      </c>
      <c r="F502" s="14" t="s">
        <v>32</v>
      </c>
      <c r="G502" s="7">
        <v>5</v>
      </c>
      <c r="H502" s="7">
        <v>4000</v>
      </c>
      <c r="I502" s="9">
        <v>10</v>
      </c>
      <c r="J502" s="10">
        <f>SALCE[[#This Row],[After_Discount]]*SALCE[[#This Row],[Tax_%]]/100</f>
        <v>25.200000000000003</v>
      </c>
      <c r="K502" s="11">
        <v>0.14000000000000001</v>
      </c>
      <c r="L502" s="10">
        <f>SALCE[[#This Row],[Quantity]]*SALCE[[#This Row],[Unit_Price]]</f>
        <v>20000</v>
      </c>
      <c r="M502" s="10">
        <f>SALCE[[#This Row],[Gross_Sales]]*SALCE[[#This Row],[Discount_%]]/100</f>
        <v>2000</v>
      </c>
      <c r="N502" s="10">
        <f>SALCE[[#This Row],[After_Discount]]+SALCE[[#This Row],[Tax_Value]]</f>
        <v>18025.2</v>
      </c>
      <c r="O502" s="10">
        <f>SALCE[[#This Row],[Gross_Sales]]*70%</f>
        <v>14000</v>
      </c>
      <c r="P502" s="10">
        <f>SALCE[[#This Row],[Net_Sales]]-SALCE[[#This Row],[Cost_Price]]</f>
        <v>4025.2000000000007</v>
      </c>
      <c r="Q502" s="10">
        <f>SALCE[[#This Row],[Gross_Sales]]-SALCE[[#This Row],[Discount_Value]]</f>
        <v>18000</v>
      </c>
      <c r="R502" s="15" t="s">
        <v>56</v>
      </c>
      <c r="S502" s="15" t="s">
        <v>37</v>
      </c>
      <c r="T502" s="15" t="s">
        <v>27</v>
      </c>
    </row>
    <row r="503" spans="1:20" s="12" customFormat="1" ht="30" customHeight="1" thickTop="1" thickBot="1" x14ac:dyDescent="0.4">
      <c r="A503" s="7">
        <v>1502</v>
      </c>
      <c r="B503" s="8">
        <v>45794</v>
      </c>
      <c r="C503" s="14" t="s">
        <v>35</v>
      </c>
      <c r="D503" s="14" t="s">
        <v>36</v>
      </c>
      <c r="E503" s="14" t="s">
        <v>34</v>
      </c>
      <c r="F503" s="14" t="s">
        <v>32</v>
      </c>
      <c r="G503" s="7">
        <v>9</v>
      </c>
      <c r="H503" s="7">
        <v>4000</v>
      </c>
      <c r="I503" s="9">
        <v>5</v>
      </c>
      <c r="J503" s="10">
        <f>SALCE[[#This Row],[After_Discount]]*SALCE[[#This Row],[Tax_%]]/100</f>
        <v>47.88000000000001</v>
      </c>
      <c r="K503" s="11">
        <v>0.14000000000000001</v>
      </c>
      <c r="L503" s="10">
        <f>SALCE[[#This Row],[Quantity]]*SALCE[[#This Row],[Unit_Price]]</f>
        <v>36000</v>
      </c>
      <c r="M503" s="10">
        <f>SALCE[[#This Row],[Gross_Sales]]*SALCE[[#This Row],[Discount_%]]/100</f>
        <v>1800</v>
      </c>
      <c r="N503" s="10">
        <f>SALCE[[#This Row],[After_Discount]]+SALCE[[#This Row],[Tax_Value]]</f>
        <v>34247.879999999997</v>
      </c>
      <c r="O503" s="10">
        <f>SALCE[[#This Row],[Gross_Sales]]*70%</f>
        <v>25200</v>
      </c>
      <c r="P503" s="10">
        <f>SALCE[[#This Row],[Net_Sales]]-SALCE[[#This Row],[Cost_Price]]</f>
        <v>9047.8799999999974</v>
      </c>
      <c r="Q503" s="10">
        <f>SALCE[[#This Row],[Gross_Sales]]-SALCE[[#This Row],[Discount_Value]]</f>
        <v>34200</v>
      </c>
      <c r="R503" s="15" t="s">
        <v>49</v>
      </c>
      <c r="S503" s="15" t="s">
        <v>26</v>
      </c>
      <c r="T503" s="15" t="s">
        <v>22</v>
      </c>
    </row>
    <row r="504" spans="1:20" s="12" customFormat="1" ht="30" customHeight="1" thickTop="1" thickBot="1" x14ac:dyDescent="0.4">
      <c r="A504" s="7">
        <v>1503</v>
      </c>
      <c r="B504" s="8">
        <v>45795</v>
      </c>
      <c r="C504" s="14" t="s">
        <v>30</v>
      </c>
      <c r="D504" s="14" t="s">
        <v>18</v>
      </c>
      <c r="E504" s="14" t="s">
        <v>33</v>
      </c>
      <c r="F504" s="14" t="s">
        <v>32</v>
      </c>
      <c r="G504" s="7">
        <v>7</v>
      </c>
      <c r="H504" s="7">
        <v>6000</v>
      </c>
      <c r="I504" s="9">
        <v>15</v>
      </c>
      <c r="J504" s="10">
        <f>SALCE[[#This Row],[After_Discount]]*SALCE[[#This Row],[Tax_%]]/100</f>
        <v>49.980000000000011</v>
      </c>
      <c r="K504" s="11">
        <v>0.14000000000000001</v>
      </c>
      <c r="L504" s="10">
        <f>SALCE[[#This Row],[Quantity]]*SALCE[[#This Row],[Unit_Price]]</f>
        <v>42000</v>
      </c>
      <c r="M504" s="10">
        <f>SALCE[[#This Row],[Gross_Sales]]*SALCE[[#This Row],[Discount_%]]/100</f>
        <v>6300</v>
      </c>
      <c r="N504" s="10">
        <f>SALCE[[#This Row],[After_Discount]]+SALCE[[#This Row],[Tax_Value]]</f>
        <v>35749.980000000003</v>
      </c>
      <c r="O504" s="10">
        <f>SALCE[[#This Row],[Gross_Sales]]*70%</f>
        <v>29399.999999999996</v>
      </c>
      <c r="P504" s="10">
        <f>SALCE[[#This Row],[Net_Sales]]-SALCE[[#This Row],[Cost_Price]]</f>
        <v>6349.9800000000068</v>
      </c>
      <c r="Q504" s="10">
        <f>SALCE[[#This Row],[Gross_Sales]]-SALCE[[#This Row],[Discount_Value]]</f>
        <v>35700</v>
      </c>
      <c r="R504" s="15" t="s">
        <v>54</v>
      </c>
      <c r="S504" s="15" t="s">
        <v>21</v>
      </c>
      <c r="T504" s="15" t="s">
        <v>27</v>
      </c>
    </row>
    <row r="505" spans="1:20" s="12" customFormat="1" ht="30" customHeight="1" thickTop="1" thickBot="1" x14ac:dyDescent="0.4">
      <c r="A505" s="7">
        <v>1504</v>
      </c>
      <c r="B505" s="8">
        <v>45796</v>
      </c>
      <c r="C505" s="14" t="s">
        <v>39</v>
      </c>
      <c r="D505" s="14" t="s">
        <v>29</v>
      </c>
      <c r="E505" s="14" t="s">
        <v>33</v>
      </c>
      <c r="F505" s="14" t="s">
        <v>32</v>
      </c>
      <c r="G505" s="7">
        <v>1</v>
      </c>
      <c r="H505" s="7">
        <v>6000</v>
      </c>
      <c r="I505" s="9">
        <v>10</v>
      </c>
      <c r="J505" s="10">
        <f>SALCE[[#This Row],[After_Discount]]*SALCE[[#This Row],[Tax_%]]/100</f>
        <v>7.5600000000000014</v>
      </c>
      <c r="K505" s="11">
        <v>0.14000000000000001</v>
      </c>
      <c r="L505" s="10">
        <f>SALCE[[#This Row],[Quantity]]*SALCE[[#This Row],[Unit_Price]]</f>
        <v>6000</v>
      </c>
      <c r="M505" s="10">
        <f>SALCE[[#This Row],[Gross_Sales]]*SALCE[[#This Row],[Discount_%]]/100</f>
        <v>600</v>
      </c>
      <c r="N505" s="10">
        <f>SALCE[[#This Row],[After_Discount]]+SALCE[[#This Row],[Tax_Value]]</f>
        <v>5407.56</v>
      </c>
      <c r="O505" s="10">
        <f>SALCE[[#This Row],[Gross_Sales]]*70%</f>
        <v>4200</v>
      </c>
      <c r="P505" s="10">
        <f>SALCE[[#This Row],[Net_Sales]]-SALCE[[#This Row],[Cost_Price]]</f>
        <v>1207.5600000000004</v>
      </c>
      <c r="Q505" s="10">
        <f>SALCE[[#This Row],[Gross_Sales]]-SALCE[[#This Row],[Discount_Value]]</f>
        <v>5400</v>
      </c>
      <c r="R505" s="15" t="s">
        <v>58</v>
      </c>
      <c r="S505" s="15" t="s">
        <v>37</v>
      </c>
      <c r="T505" s="15" t="s">
        <v>22</v>
      </c>
    </row>
    <row r="506" spans="1:20" s="12" customFormat="1" ht="30" customHeight="1" thickTop="1" thickBot="1" x14ac:dyDescent="0.4">
      <c r="A506" s="7">
        <v>1505</v>
      </c>
      <c r="B506" s="8">
        <v>45797</v>
      </c>
      <c r="C506" s="14" t="s">
        <v>17</v>
      </c>
      <c r="D506" s="14" t="s">
        <v>38</v>
      </c>
      <c r="E506" s="14" t="s">
        <v>33</v>
      </c>
      <c r="F506" s="14" t="s">
        <v>32</v>
      </c>
      <c r="G506" s="7">
        <v>9</v>
      </c>
      <c r="H506" s="7">
        <v>6000</v>
      </c>
      <c r="I506" s="9">
        <v>5</v>
      </c>
      <c r="J506" s="10">
        <f>SALCE[[#This Row],[After_Discount]]*SALCE[[#This Row],[Tax_%]]/100</f>
        <v>71.820000000000007</v>
      </c>
      <c r="K506" s="11">
        <v>0.14000000000000001</v>
      </c>
      <c r="L506" s="10">
        <f>SALCE[[#This Row],[Quantity]]*SALCE[[#This Row],[Unit_Price]]</f>
        <v>54000</v>
      </c>
      <c r="M506" s="10">
        <f>SALCE[[#This Row],[Gross_Sales]]*SALCE[[#This Row],[Discount_%]]/100</f>
        <v>2700</v>
      </c>
      <c r="N506" s="10">
        <f>SALCE[[#This Row],[After_Discount]]+SALCE[[#This Row],[Tax_Value]]</f>
        <v>51371.82</v>
      </c>
      <c r="O506" s="10">
        <f>SALCE[[#This Row],[Gross_Sales]]*70%</f>
        <v>37800</v>
      </c>
      <c r="P506" s="10">
        <f>SALCE[[#This Row],[Net_Sales]]-SALCE[[#This Row],[Cost_Price]]</f>
        <v>13571.82</v>
      </c>
      <c r="Q506" s="10">
        <f>SALCE[[#This Row],[Gross_Sales]]-SALCE[[#This Row],[Discount_Value]]</f>
        <v>51300</v>
      </c>
      <c r="R506" s="15" t="s">
        <v>51</v>
      </c>
      <c r="S506" s="15" t="s">
        <v>26</v>
      </c>
      <c r="T506" s="15" t="s">
        <v>22</v>
      </c>
    </row>
    <row r="507" spans="1:20" s="12" customFormat="1" ht="30" customHeight="1" thickTop="1" thickBot="1" x14ac:dyDescent="0.4">
      <c r="A507" s="7">
        <v>1506</v>
      </c>
      <c r="B507" s="8">
        <v>45798</v>
      </c>
      <c r="C507" s="14" t="s">
        <v>35</v>
      </c>
      <c r="D507" s="14" t="s">
        <v>38</v>
      </c>
      <c r="E507" s="14" t="s">
        <v>31</v>
      </c>
      <c r="F507" s="14" t="s">
        <v>32</v>
      </c>
      <c r="G507" s="7">
        <v>9</v>
      </c>
      <c r="H507" s="7">
        <v>15000</v>
      </c>
      <c r="I507" s="9">
        <v>0</v>
      </c>
      <c r="J507" s="10">
        <f>SALCE[[#This Row],[After_Discount]]*SALCE[[#This Row],[Tax_%]]/100</f>
        <v>189</v>
      </c>
      <c r="K507" s="11">
        <v>0.14000000000000001</v>
      </c>
      <c r="L507" s="10">
        <f>SALCE[[#This Row],[Quantity]]*SALCE[[#This Row],[Unit_Price]]</f>
        <v>135000</v>
      </c>
      <c r="M507" s="10">
        <f>SALCE[[#This Row],[Gross_Sales]]*SALCE[[#This Row],[Discount_%]]/100</f>
        <v>0</v>
      </c>
      <c r="N507" s="10">
        <f>SALCE[[#This Row],[After_Discount]]+SALCE[[#This Row],[Tax_Value]]</f>
        <v>135189</v>
      </c>
      <c r="O507" s="10">
        <f>SALCE[[#This Row],[Gross_Sales]]*70%</f>
        <v>94500</v>
      </c>
      <c r="P507" s="10">
        <f>SALCE[[#This Row],[Net_Sales]]-SALCE[[#This Row],[Cost_Price]]</f>
        <v>40689</v>
      </c>
      <c r="Q507" s="10">
        <f>SALCE[[#This Row],[Gross_Sales]]-SALCE[[#This Row],[Discount_Value]]</f>
        <v>135000</v>
      </c>
      <c r="R507" s="15" t="s">
        <v>59</v>
      </c>
      <c r="S507" s="15" t="s">
        <v>26</v>
      </c>
      <c r="T507" s="15" t="s">
        <v>27</v>
      </c>
    </row>
    <row r="508" spans="1:20" s="12" customFormat="1" ht="30" customHeight="1" thickTop="1" thickBot="1" x14ac:dyDescent="0.4">
      <c r="A508" s="7">
        <v>1507</v>
      </c>
      <c r="B508" s="8">
        <v>45799</v>
      </c>
      <c r="C508" s="14" t="s">
        <v>39</v>
      </c>
      <c r="D508" s="14" t="s">
        <v>29</v>
      </c>
      <c r="E508" s="14" t="s">
        <v>34</v>
      </c>
      <c r="F508" s="14" t="s">
        <v>32</v>
      </c>
      <c r="G508" s="7">
        <v>10</v>
      </c>
      <c r="H508" s="7">
        <v>4000</v>
      </c>
      <c r="I508" s="9">
        <v>10</v>
      </c>
      <c r="J508" s="10">
        <f>SALCE[[#This Row],[After_Discount]]*SALCE[[#This Row],[Tax_%]]/100</f>
        <v>50.400000000000006</v>
      </c>
      <c r="K508" s="11">
        <v>0.14000000000000001</v>
      </c>
      <c r="L508" s="10">
        <f>SALCE[[#This Row],[Quantity]]*SALCE[[#This Row],[Unit_Price]]</f>
        <v>40000</v>
      </c>
      <c r="M508" s="10">
        <f>SALCE[[#This Row],[Gross_Sales]]*SALCE[[#This Row],[Discount_%]]/100</f>
        <v>4000</v>
      </c>
      <c r="N508" s="10">
        <f>SALCE[[#This Row],[After_Discount]]+SALCE[[#This Row],[Tax_Value]]</f>
        <v>36050.400000000001</v>
      </c>
      <c r="O508" s="10">
        <f>SALCE[[#This Row],[Gross_Sales]]*70%</f>
        <v>28000</v>
      </c>
      <c r="P508" s="10">
        <f>SALCE[[#This Row],[Net_Sales]]-SALCE[[#This Row],[Cost_Price]]</f>
        <v>8050.4000000000015</v>
      </c>
      <c r="Q508" s="10">
        <f>SALCE[[#This Row],[Gross_Sales]]-SALCE[[#This Row],[Discount_Value]]</f>
        <v>36000</v>
      </c>
      <c r="R508" s="15" t="s">
        <v>58</v>
      </c>
      <c r="S508" s="15" t="s">
        <v>37</v>
      </c>
      <c r="T508" s="15" t="s">
        <v>22</v>
      </c>
    </row>
    <row r="509" spans="1:20" s="12" customFormat="1" ht="30" customHeight="1" thickTop="1" thickBot="1" x14ac:dyDescent="0.4">
      <c r="A509" s="7">
        <v>1508</v>
      </c>
      <c r="B509" s="8">
        <v>45800</v>
      </c>
      <c r="C509" s="14" t="s">
        <v>17</v>
      </c>
      <c r="D509" s="14" t="s">
        <v>36</v>
      </c>
      <c r="E509" s="14" t="s">
        <v>31</v>
      </c>
      <c r="F509" s="14" t="s">
        <v>32</v>
      </c>
      <c r="G509" s="7">
        <v>9</v>
      </c>
      <c r="H509" s="7">
        <v>15000</v>
      </c>
      <c r="I509" s="9">
        <v>5</v>
      </c>
      <c r="J509" s="10">
        <f>SALCE[[#This Row],[After_Discount]]*SALCE[[#This Row],[Tax_%]]/100</f>
        <v>179.55</v>
      </c>
      <c r="K509" s="11">
        <v>0.14000000000000001</v>
      </c>
      <c r="L509" s="10">
        <f>SALCE[[#This Row],[Quantity]]*SALCE[[#This Row],[Unit_Price]]</f>
        <v>135000</v>
      </c>
      <c r="M509" s="10">
        <f>SALCE[[#This Row],[Gross_Sales]]*SALCE[[#This Row],[Discount_%]]/100</f>
        <v>6750</v>
      </c>
      <c r="N509" s="10">
        <f>SALCE[[#This Row],[After_Discount]]+SALCE[[#This Row],[Tax_Value]]</f>
        <v>128429.55</v>
      </c>
      <c r="O509" s="10">
        <f>SALCE[[#This Row],[Gross_Sales]]*70%</f>
        <v>94500</v>
      </c>
      <c r="P509" s="10">
        <f>SALCE[[#This Row],[Net_Sales]]-SALCE[[#This Row],[Cost_Price]]</f>
        <v>33929.550000000003</v>
      </c>
      <c r="Q509" s="10">
        <f>SALCE[[#This Row],[Gross_Sales]]-SALCE[[#This Row],[Discount_Value]]</f>
        <v>128250</v>
      </c>
      <c r="R509" s="15" t="s">
        <v>62</v>
      </c>
      <c r="S509" s="15" t="s">
        <v>26</v>
      </c>
      <c r="T509" s="15" t="s">
        <v>27</v>
      </c>
    </row>
    <row r="510" spans="1:20" s="12" customFormat="1" ht="30" customHeight="1" thickTop="1" thickBot="1" x14ac:dyDescent="0.4">
      <c r="A510" s="7">
        <v>1509</v>
      </c>
      <c r="B510" s="8">
        <v>45801</v>
      </c>
      <c r="C510" s="14" t="s">
        <v>28</v>
      </c>
      <c r="D510" s="14" t="s">
        <v>41</v>
      </c>
      <c r="E510" s="14" t="s">
        <v>31</v>
      </c>
      <c r="F510" s="14" t="s">
        <v>32</v>
      </c>
      <c r="G510" s="7">
        <v>5</v>
      </c>
      <c r="H510" s="7">
        <v>15000</v>
      </c>
      <c r="I510" s="9">
        <v>5</v>
      </c>
      <c r="J510" s="10">
        <f>SALCE[[#This Row],[After_Discount]]*SALCE[[#This Row],[Tax_%]]/100</f>
        <v>99.750000000000014</v>
      </c>
      <c r="K510" s="11">
        <v>0.14000000000000001</v>
      </c>
      <c r="L510" s="10">
        <f>SALCE[[#This Row],[Quantity]]*SALCE[[#This Row],[Unit_Price]]</f>
        <v>75000</v>
      </c>
      <c r="M510" s="10">
        <f>SALCE[[#This Row],[Gross_Sales]]*SALCE[[#This Row],[Discount_%]]/100</f>
        <v>3750</v>
      </c>
      <c r="N510" s="10">
        <f>SALCE[[#This Row],[After_Discount]]+SALCE[[#This Row],[Tax_Value]]</f>
        <v>71349.75</v>
      </c>
      <c r="O510" s="10">
        <f>SALCE[[#This Row],[Gross_Sales]]*70%</f>
        <v>52500</v>
      </c>
      <c r="P510" s="10">
        <f>SALCE[[#This Row],[Net_Sales]]-SALCE[[#This Row],[Cost_Price]]</f>
        <v>18849.75</v>
      </c>
      <c r="Q510" s="10">
        <f>SALCE[[#This Row],[Gross_Sales]]-SALCE[[#This Row],[Discount_Value]]</f>
        <v>71250</v>
      </c>
      <c r="R510" s="15" t="s">
        <v>53</v>
      </c>
      <c r="S510" s="15" t="s">
        <v>37</v>
      </c>
      <c r="T510" s="15" t="s">
        <v>22</v>
      </c>
    </row>
    <row r="511" spans="1:20" s="12" customFormat="1" ht="30" customHeight="1" thickTop="1" thickBot="1" x14ac:dyDescent="0.4">
      <c r="A511" s="7">
        <v>1510</v>
      </c>
      <c r="B511" s="8">
        <v>45802</v>
      </c>
      <c r="C511" s="14" t="s">
        <v>39</v>
      </c>
      <c r="D511" s="14" t="s">
        <v>29</v>
      </c>
      <c r="E511" s="14" t="s">
        <v>31</v>
      </c>
      <c r="F511" s="14" t="s">
        <v>32</v>
      </c>
      <c r="G511" s="7">
        <v>4</v>
      </c>
      <c r="H511" s="7">
        <v>15000</v>
      </c>
      <c r="I511" s="9">
        <v>15</v>
      </c>
      <c r="J511" s="10">
        <f>SALCE[[#This Row],[After_Discount]]*SALCE[[#This Row],[Tax_%]]/100</f>
        <v>71.400000000000006</v>
      </c>
      <c r="K511" s="11">
        <v>0.14000000000000001</v>
      </c>
      <c r="L511" s="10">
        <f>SALCE[[#This Row],[Quantity]]*SALCE[[#This Row],[Unit_Price]]</f>
        <v>60000</v>
      </c>
      <c r="M511" s="10">
        <f>SALCE[[#This Row],[Gross_Sales]]*SALCE[[#This Row],[Discount_%]]/100</f>
        <v>9000</v>
      </c>
      <c r="N511" s="10">
        <f>SALCE[[#This Row],[After_Discount]]+SALCE[[#This Row],[Tax_Value]]</f>
        <v>51071.4</v>
      </c>
      <c r="O511" s="10">
        <f>SALCE[[#This Row],[Gross_Sales]]*70%</f>
        <v>42000</v>
      </c>
      <c r="P511" s="10">
        <f>SALCE[[#This Row],[Net_Sales]]-SALCE[[#This Row],[Cost_Price]]</f>
        <v>9071.4000000000015</v>
      </c>
      <c r="Q511" s="10">
        <f>SALCE[[#This Row],[Gross_Sales]]-SALCE[[#This Row],[Discount_Value]]</f>
        <v>51000</v>
      </c>
      <c r="R511" s="15" t="s">
        <v>53</v>
      </c>
      <c r="S511" s="15" t="s">
        <v>21</v>
      </c>
      <c r="T511" s="15" t="s">
        <v>27</v>
      </c>
    </row>
    <row r="512" spans="1:20" s="12" customFormat="1" ht="30" customHeight="1" thickTop="1" thickBot="1" x14ac:dyDescent="0.4">
      <c r="A512" s="7">
        <v>1511</v>
      </c>
      <c r="B512" s="8">
        <v>45803</v>
      </c>
      <c r="C512" s="14" t="s">
        <v>28</v>
      </c>
      <c r="D512" s="14" t="s">
        <v>29</v>
      </c>
      <c r="E512" s="14" t="s">
        <v>19</v>
      </c>
      <c r="F512" s="14" t="s">
        <v>20</v>
      </c>
      <c r="G512" s="7">
        <v>9</v>
      </c>
      <c r="H512" s="7">
        <v>300</v>
      </c>
      <c r="I512" s="9">
        <v>15</v>
      </c>
      <c r="J512" s="10">
        <f>SALCE[[#This Row],[After_Discount]]*SALCE[[#This Row],[Tax_%]]/100</f>
        <v>3.2130000000000001</v>
      </c>
      <c r="K512" s="11">
        <v>0.14000000000000001</v>
      </c>
      <c r="L512" s="10">
        <f>SALCE[[#This Row],[Quantity]]*SALCE[[#This Row],[Unit_Price]]</f>
        <v>2700</v>
      </c>
      <c r="M512" s="10">
        <f>SALCE[[#This Row],[Gross_Sales]]*SALCE[[#This Row],[Discount_%]]/100</f>
        <v>405</v>
      </c>
      <c r="N512" s="10">
        <f>SALCE[[#This Row],[After_Discount]]+SALCE[[#This Row],[Tax_Value]]</f>
        <v>2298.2130000000002</v>
      </c>
      <c r="O512" s="10">
        <f>SALCE[[#This Row],[Gross_Sales]]*70%</f>
        <v>1889.9999999999998</v>
      </c>
      <c r="P512" s="10">
        <f>SALCE[[#This Row],[Net_Sales]]-SALCE[[#This Row],[Cost_Price]]</f>
        <v>408.21300000000042</v>
      </c>
      <c r="Q512" s="10">
        <f>SALCE[[#This Row],[Gross_Sales]]-SALCE[[#This Row],[Discount_Value]]</f>
        <v>2295</v>
      </c>
      <c r="R512" s="15" t="s">
        <v>59</v>
      </c>
      <c r="S512" s="15" t="s">
        <v>21</v>
      </c>
      <c r="T512" s="15" t="s">
        <v>22</v>
      </c>
    </row>
    <row r="513" spans="1:20" s="12" customFormat="1" ht="30" customHeight="1" thickTop="1" thickBot="1" x14ac:dyDescent="0.4">
      <c r="A513" s="7">
        <v>1512</v>
      </c>
      <c r="B513" s="8">
        <v>45804</v>
      </c>
      <c r="C513" s="14" t="s">
        <v>30</v>
      </c>
      <c r="D513" s="14" t="s">
        <v>29</v>
      </c>
      <c r="E513" s="14" t="s">
        <v>19</v>
      </c>
      <c r="F513" s="14" t="s">
        <v>20</v>
      </c>
      <c r="G513" s="7">
        <v>8</v>
      </c>
      <c r="H513" s="7">
        <v>300</v>
      </c>
      <c r="I513" s="9">
        <v>0</v>
      </c>
      <c r="J513" s="10">
        <f>SALCE[[#This Row],[After_Discount]]*SALCE[[#This Row],[Tax_%]]/100</f>
        <v>3.3600000000000008</v>
      </c>
      <c r="K513" s="11">
        <v>0.14000000000000001</v>
      </c>
      <c r="L513" s="10">
        <f>SALCE[[#This Row],[Quantity]]*SALCE[[#This Row],[Unit_Price]]</f>
        <v>2400</v>
      </c>
      <c r="M513" s="10">
        <f>SALCE[[#This Row],[Gross_Sales]]*SALCE[[#This Row],[Discount_%]]/100</f>
        <v>0</v>
      </c>
      <c r="N513" s="10">
        <f>SALCE[[#This Row],[After_Discount]]+SALCE[[#This Row],[Tax_Value]]</f>
        <v>2403.36</v>
      </c>
      <c r="O513" s="10">
        <f>SALCE[[#This Row],[Gross_Sales]]*70%</f>
        <v>1680</v>
      </c>
      <c r="P513" s="10">
        <f>SALCE[[#This Row],[Net_Sales]]-SALCE[[#This Row],[Cost_Price]]</f>
        <v>723.36000000000013</v>
      </c>
      <c r="Q513" s="10">
        <f>SALCE[[#This Row],[Gross_Sales]]-SALCE[[#This Row],[Discount_Value]]</f>
        <v>2400</v>
      </c>
      <c r="R513" s="15" t="s">
        <v>50</v>
      </c>
      <c r="S513" s="15" t="s">
        <v>26</v>
      </c>
      <c r="T513" s="15" t="s">
        <v>22</v>
      </c>
    </row>
    <row r="514" spans="1:20" s="12" customFormat="1" ht="30" customHeight="1" thickTop="1" thickBot="1" x14ac:dyDescent="0.4">
      <c r="A514" s="7">
        <v>1513</v>
      </c>
      <c r="B514" s="8">
        <v>45805</v>
      </c>
      <c r="C514" s="14" t="s">
        <v>35</v>
      </c>
      <c r="D514" s="14" t="s">
        <v>24</v>
      </c>
      <c r="E514" s="14" t="s">
        <v>19</v>
      </c>
      <c r="F514" s="14" t="s">
        <v>20</v>
      </c>
      <c r="G514" s="7">
        <v>5</v>
      </c>
      <c r="H514" s="7">
        <v>300</v>
      </c>
      <c r="I514" s="9">
        <v>0</v>
      </c>
      <c r="J514" s="10">
        <f>SALCE[[#This Row],[After_Discount]]*SALCE[[#This Row],[Tax_%]]/100</f>
        <v>2.1</v>
      </c>
      <c r="K514" s="11">
        <v>0.14000000000000001</v>
      </c>
      <c r="L514" s="10">
        <f>SALCE[[#This Row],[Quantity]]*SALCE[[#This Row],[Unit_Price]]</f>
        <v>1500</v>
      </c>
      <c r="M514" s="10">
        <f>SALCE[[#This Row],[Gross_Sales]]*SALCE[[#This Row],[Discount_%]]/100</f>
        <v>0</v>
      </c>
      <c r="N514" s="10">
        <f>SALCE[[#This Row],[After_Discount]]+SALCE[[#This Row],[Tax_Value]]</f>
        <v>1502.1</v>
      </c>
      <c r="O514" s="10">
        <f>SALCE[[#This Row],[Gross_Sales]]*70%</f>
        <v>1050</v>
      </c>
      <c r="P514" s="10">
        <f>SALCE[[#This Row],[Net_Sales]]-SALCE[[#This Row],[Cost_Price]]</f>
        <v>452.09999999999991</v>
      </c>
      <c r="Q514" s="10">
        <f>SALCE[[#This Row],[Gross_Sales]]-SALCE[[#This Row],[Discount_Value]]</f>
        <v>1500</v>
      </c>
      <c r="R514" s="15" t="s">
        <v>56</v>
      </c>
      <c r="S514" s="15" t="s">
        <v>21</v>
      </c>
      <c r="T514" s="15" t="s">
        <v>22</v>
      </c>
    </row>
    <row r="515" spans="1:20" s="12" customFormat="1" ht="30" customHeight="1" thickTop="1" thickBot="1" x14ac:dyDescent="0.4">
      <c r="A515" s="7">
        <v>1514</v>
      </c>
      <c r="B515" s="8">
        <v>45806</v>
      </c>
      <c r="C515" s="14" t="s">
        <v>39</v>
      </c>
      <c r="D515" s="14" t="s">
        <v>29</v>
      </c>
      <c r="E515" s="14" t="s">
        <v>34</v>
      </c>
      <c r="F515" s="14" t="s">
        <v>32</v>
      </c>
      <c r="G515" s="7">
        <v>4</v>
      </c>
      <c r="H515" s="7">
        <v>4000</v>
      </c>
      <c r="I515" s="9">
        <v>0</v>
      </c>
      <c r="J515" s="10">
        <f>SALCE[[#This Row],[After_Discount]]*SALCE[[#This Row],[Tax_%]]/100</f>
        <v>22.4</v>
      </c>
      <c r="K515" s="11">
        <v>0.14000000000000001</v>
      </c>
      <c r="L515" s="10">
        <f>SALCE[[#This Row],[Quantity]]*SALCE[[#This Row],[Unit_Price]]</f>
        <v>16000</v>
      </c>
      <c r="M515" s="10">
        <f>SALCE[[#This Row],[Gross_Sales]]*SALCE[[#This Row],[Discount_%]]/100</f>
        <v>0</v>
      </c>
      <c r="N515" s="10">
        <f>SALCE[[#This Row],[After_Discount]]+SALCE[[#This Row],[Tax_Value]]</f>
        <v>16022.4</v>
      </c>
      <c r="O515" s="10">
        <f>SALCE[[#This Row],[Gross_Sales]]*70%</f>
        <v>11200</v>
      </c>
      <c r="P515" s="10">
        <f>SALCE[[#This Row],[Net_Sales]]-SALCE[[#This Row],[Cost_Price]]</f>
        <v>4822.3999999999996</v>
      </c>
      <c r="Q515" s="10">
        <f>SALCE[[#This Row],[Gross_Sales]]-SALCE[[#This Row],[Discount_Value]]</f>
        <v>16000</v>
      </c>
      <c r="R515" s="15" t="s">
        <v>54</v>
      </c>
      <c r="S515" s="15" t="s">
        <v>21</v>
      </c>
      <c r="T515" s="15" t="s">
        <v>22</v>
      </c>
    </row>
    <row r="516" spans="1:20" s="12" customFormat="1" ht="30" customHeight="1" thickTop="1" thickBot="1" x14ac:dyDescent="0.4">
      <c r="A516" s="7">
        <v>1515</v>
      </c>
      <c r="B516" s="8">
        <v>45807</v>
      </c>
      <c r="C516" s="14" t="s">
        <v>17</v>
      </c>
      <c r="D516" s="14" t="s">
        <v>41</v>
      </c>
      <c r="E516" s="14" t="s">
        <v>25</v>
      </c>
      <c r="F516" s="14" t="s">
        <v>20</v>
      </c>
      <c r="G516" s="7">
        <v>5</v>
      </c>
      <c r="H516" s="7">
        <v>500</v>
      </c>
      <c r="I516" s="9">
        <v>15</v>
      </c>
      <c r="J516" s="10">
        <f>SALCE[[#This Row],[After_Discount]]*SALCE[[#This Row],[Tax_%]]/100</f>
        <v>2.9750000000000001</v>
      </c>
      <c r="K516" s="11">
        <v>0.14000000000000001</v>
      </c>
      <c r="L516" s="10">
        <f>SALCE[[#This Row],[Quantity]]*SALCE[[#This Row],[Unit_Price]]</f>
        <v>2500</v>
      </c>
      <c r="M516" s="10">
        <f>SALCE[[#This Row],[Gross_Sales]]*SALCE[[#This Row],[Discount_%]]/100</f>
        <v>375</v>
      </c>
      <c r="N516" s="10">
        <f>SALCE[[#This Row],[After_Discount]]+SALCE[[#This Row],[Tax_Value]]</f>
        <v>2127.9749999999999</v>
      </c>
      <c r="O516" s="10">
        <f>SALCE[[#This Row],[Gross_Sales]]*70%</f>
        <v>1750</v>
      </c>
      <c r="P516" s="10">
        <f>SALCE[[#This Row],[Net_Sales]]-SALCE[[#This Row],[Cost_Price]]</f>
        <v>377.97499999999991</v>
      </c>
      <c r="Q516" s="10">
        <f>SALCE[[#This Row],[Gross_Sales]]-SALCE[[#This Row],[Discount_Value]]</f>
        <v>2125</v>
      </c>
      <c r="R516" s="15" t="s">
        <v>54</v>
      </c>
      <c r="S516" s="15" t="s">
        <v>21</v>
      </c>
      <c r="T516" s="15" t="s">
        <v>27</v>
      </c>
    </row>
    <row r="517" spans="1:20" s="12" customFormat="1" ht="30" customHeight="1" thickTop="1" thickBot="1" x14ac:dyDescent="0.4">
      <c r="A517" s="7">
        <v>1516</v>
      </c>
      <c r="B517" s="8">
        <v>45808</v>
      </c>
      <c r="C517" s="14" t="s">
        <v>17</v>
      </c>
      <c r="D517" s="14" t="s">
        <v>29</v>
      </c>
      <c r="E517" s="14" t="s">
        <v>40</v>
      </c>
      <c r="F517" s="14" t="s">
        <v>20</v>
      </c>
      <c r="G517" s="7">
        <v>1</v>
      </c>
      <c r="H517" s="7">
        <v>800</v>
      </c>
      <c r="I517" s="9">
        <v>0</v>
      </c>
      <c r="J517" s="10">
        <f>SALCE[[#This Row],[After_Discount]]*SALCE[[#This Row],[Tax_%]]/100</f>
        <v>1.1200000000000001</v>
      </c>
      <c r="K517" s="11">
        <v>0.14000000000000001</v>
      </c>
      <c r="L517" s="10">
        <f>SALCE[[#This Row],[Quantity]]*SALCE[[#This Row],[Unit_Price]]</f>
        <v>800</v>
      </c>
      <c r="M517" s="10">
        <f>SALCE[[#This Row],[Gross_Sales]]*SALCE[[#This Row],[Discount_%]]/100</f>
        <v>0</v>
      </c>
      <c r="N517" s="10">
        <f>SALCE[[#This Row],[After_Discount]]+SALCE[[#This Row],[Tax_Value]]</f>
        <v>801.12</v>
      </c>
      <c r="O517" s="10">
        <f>SALCE[[#This Row],[Gross_Sales]]*70%</f>
        <v>560</v>
      </c>
      <c r="P517" s="10">
        <f>SALCE[[#This Row],[Net_Sales]]-SALCE[[#This Row],[Cost_Price]]</f>
        <v>241.12</v>
      </c>
      <c r="Q517" s="10">
        <f>SALCE[[#This Row],[Gross_Sales]]-SALCE[[#This Row],[Discount_Value]]</f>
        <v>800</v>
      </c>
      <c r="R517" s="15" t="s">
        <v>49</v>
      </c>
      <c r="S517" s="15" t="s">
        <v>26</v>
      </c>
      <c r="T517" s="15" t="s">
        <v>22</v>
      </c>
    </row>
    <row r="518" spans="1:20" s="12" customFormat="1" ht="30" customHeight="1" thickTop="1" thickBot="1" x14ac:dyDescent="0.4">
      <c r="A518" s="7">
        <v>1517</v>
      </c>
      <c r="B518" s="8">
        <v>45809</v>
      </c>
      <c r="C518" s="14" t="s">
        <v>17</v>
      </c>
      <c r="D518" s="14" t="s">
        <v>29</v>
      </c>
      <c r="E518" s="14" t="s">
        <v>19</v>
      </c>
      <c r="F518" s="14" t="s">
        <v>20</v>
      </c>
      <c r="G518" s="7">
        <v>4</v>
      </c>
      <c r="H518" s="7">
        <v>300</v>
      </c>
      <c r="I518" s="9">
        <v>10</v>
      </c>
      <c r="J518" s="10">
        <f>SALCE[[#This Row],[After_Discount]]*SALCE[[#This Row],[Tax_%]]/100</f>
        <v>1.5120000000000002</v>
      </c>
      <c r="K518" s="11">
        <v>0.14000000000000001</v>
      </c>
      <c r="L518" s="10">
        <f>SALCE[[#This Row],[Quantity]]*SALCE[[#This Row],[Unit_Price]]</f>
        <v>1200</v>
      </c>
      <c r="M518" s="10">
        <f>SALCE[[#This Row],[Gross_Sales]]*SALCE[[#This Row],[Discount_%]]/100</f>
        <v>120</v>
      </c>
      <c r="N518" s="10">
        <f>SALCE[[#This Row],[After_Discount]]+SALCE[[#This Row],[Tax_Value]]</f>
        <v>1081.5119999999999</v>
      </c>
      <c r="O518" s="10">
        <f>SALCE[[#This Row],[Gross_Sales]]*70%</f>
        <v>840</v>
      </c>
      <c r="P518" s="10">
        <f>SALCE[[#This Row],[Net_Sales]]-SALCE[[#This Row],[Cost_Price]]</f>
        <v>241.51199999999994</v>
      </c>
      <c r="Q518" s="10">
        <f>SALCE[[#This Row],[Gross_Sales]]-SALCE[[#This Row],[Discount_Value]]</f>
        <v>1080</v>
      </c>
      <c r="R518" s="15" t="s">
        <v>59</v>
      </c>
      <c r="S518" s="15" t="s">
        <v>26</v>
      </c>
      <c r="T518" s="15" t="s">
        <v>27</v>
      </c>
    </row>
    <row r="519" spans="1:20" s="12" customFormat="1" ht="30" customHeight="1" thickTop="1" thickBot="1" x14ac:dyDescent="0.4">
      <c r="A519" s="7">
        <v>1518</v>
      </c>
      <c r="B519" s="8">
        <v>45810</v>
      </c>
      <c r="C519" s="14" t="s">
        <v>30</v>
      </c>
      <c r="D519" s="14" t="s">
        <v>41</v>
      </c>
      <c r="E519" s="14" t="s">
        <v>34</v>
      </c>
      <c r="F519" s="14" t="s">
        <v>32</v>
      </c>
      <c r="G519" s="7">
        <v>1</v>
      </c>
      <c r="H519" s="7">
        <v>4000</v>
      </c>
      <c r="I519" s="9">
        <v>10</v>
      </c>
      <c r="J519" s="10">
        <f>SALCE[[#This Row],[After_Discount]]*SALCE[[#This Row],[Tax_%]]/100</f>
        <v>5.0400000000000009</v>
      </c>
      <c r="K519" s="11">
        <v>0.14000000000000001</v>
      </c>
      <c r="L519" s="10">
        <f>SALCE[[#This Row],[Quantity]]*SALCE[[#This Row],[Unit_Price]]</f>
        <v>4000</v>
      </c>
      <c r="M519" s="10">
        <f>SALCE[[#This Row],[Gross_Sales]]*SALCE[[#This Row],[Discount_%]]/100</f>
        <v>400</v>
      </c>
      <c r="N519" s="10">
        <f>SALCE[[#This Row],[After_Discount]]+SALCE[[#This Row],[Tax_Value]]</f>
        <v>3605.04</v>
      </c>
      <c r="O519" s="10">
        <f>SALCE[[#This Row],[Gross_Sales]]*70%</f>
        <v>2800</v>
      </c>
      <c r="P519" s="10">
        <f>SALCE[[#This Row],[Net_Sales]]-SALCE[[#This Row],[Cost_Price]]</f>
        <v>805.04</v>
      </c>
      <c r="Q519" s="10">
        <f>SALCE[[#This Row],[Gross_Sales]]-SALCE[[#This Row],[Discount_Value]]</f>
        <v>3600</v>
      </c>
      <c r="R519" s="15" t="s">
        <v>53</v>
      </c>
      <c r="S519" s="15" t="s">
        <v>21</v>
      </c>
      <c r="T519" s="15" t="s">
        <v>27</v>
      </c>
    </row>
    <row r="520" spans="1:20" s="12" customFormat="1" ht="30" customHeight="1" thickTop="1" thickBot="1" x14ac:dyDescent="0.4">
      <c r="A520" s="7">
        <v>1519</v>
      </c>
      <c r="B520" s="8">
        <v>45811</v>
      </c>
      <c r="C520" s="14" t="s">
        <v>17</v>
      </c>
      <c r="D520" s="14" t="s">
        <v>18</v>
      </c>
      <c r="E520" s="14" t="s">
        <v>33</v>
      </c>
      <c r="F520" s="14" t="s">
        <v>32</v>
      </c>
      <c r="G520" s="7">
        <v>8</v>
      </c>
      <c r="H520" s="7">
        <v>6000</v>
      </c>
      <c r="I520" s="9">
        <v>5</v>
      </c>
      <c r="J520" s="10">
        <f>SALCE[[#This Row],[After_Discount]]*SALCE[[#This Row],[Tax_%]]/100</f>
        <v>63.840000000000011</v>
      </c>
      <c r="K520" s="11">
        <v>0.14000000000000001</v>
      </c>
      <c r="L520" s="10">
        <f>SALCE[[#This Row],[Quantity]]*SALCE[[#This Row],[Unit_Price]]</f>
        <v>48000</v>
      </c>
      <c r="M520" s="10">
        <f>SALCE[[#This Row],[Gross_Sales]]*SALCE[[#This Row],[Discount_%]]/100</f>
        <v>2400</v>
      </c>
      <c r="N520" s="10">
        <f>SALCE[[#This Row],[After_Discount]]+SALCE[[#This Row],[Tax_Value]]</f>
        <v>45663.839999999997</v>
      </c>
      <c r="O520" s="10">
        <f>SALCE[[#This Row],[Gross_Sales]]*70%</f>
        <v>33600</v>
      </c>
      <c r="P520" s="10">
        <f>SALCE[[#This Row],[Net_Sales]]-SALCE[[#This Row],[Cost_Price]]</f>
        <v>12063.839999999997</v>
      </c>
      <c r="Q520" s="10">
        <f>SALCE[[#This Row],[Gross_Sales]]-SALCE[[#This Row],[Discount_Value]]</f>
        <v>45600</v>
      </c>
      <c r="R520" s="15" t="s">
        <v>52</v>
      </c>
      <c r="S520" s="15" t="s">
        <v>26</v>
      </c>
      <c r="T520" s="15" t="s">
        <v>22</v>
      </c>
    </row>
    <row r="521" spans="1:20" s="12" customFormat="1" ht="30" customHeight="1" thickTop="1" thickBot="1" x14ac:dyDescent="0.4">
      <c r="A521" s="7">
        <v>1520</v>
      </c>
      <c r="B521" s="8">
        <v>45812</v>
      </c>
      <c r="C521" s="14" t="s">
        <v>23</v>
      </c>
      <c r="D521" s="14" t="s">
        <v>29</v>
      </c>
      <c r="E521" s="14" t="s">
        <v>40</v>
      </c>
      <c r="F521" s="14" t="s">
        <v>20</v>
      </c>
      <c r="G521" s="7">
        <v>2</v>
      </c>
      <c r="H521" s="7">
        <v>800</v>
      </c>
      <c r="I521" s="9">
        <v>0</v>
      </c>
      <c r="J521" s="10">
        <f>SALCE[[#This Row],[After_Discount]]*SALCE[[#This Row],[Tax_%]]/100</f>
        <v>2.2400000000000002</v>
      </c>
      <c r="K521" s="11">
        <v>0.14000000000000001</v>
      </c>
      <c r="L521" s="10">
        <f>SALCE[[#This Row],[Quantity]]*SALCE[[#This Row],[Unit_Price]]</f>
        <v>1600</v>
      </c>
      <c r="M521" s="10">
        <f>SALCE[[#This Row],[Gross_Sales]]*SALCE[[#This Row],[Discount_%]]/100</f>
        <v>0</v>
      </c>
      <c r="N521" s="10">
        <f>SALCE[[#This Row],[After_Discount]]+SALCE[[#This Row],[Tax_Value]]</f>
        <v>1602.24</v>
      </c>
      <c r="O521" s="10">
        <f>SALCE[[#This Row],[Gross_Sales]]*70%</f>
        <v>1120</v>
      </c>
      <c r="P521" s="10">
        <f>SALCE[[#This Row],[Net_Sales]]-SALCE[[#This Row],[Cost_Price]]</f>
        <v>482.24</v>
      </c>
      <c r="Q521" s="10">
        <f>SALCE[[#This Row],[Gross_Sales]]-SALCE[[#This Row],[Discount_Value]]</f>
        <v>1600</v>
      </c>
      <c r="R521" s="15" t="s">
        <v>59</v>
      </c>
      <c r="S521" s="15" t="s">
        <v>37</v>
      </c>
      <c r="T521" s="15" t="s">
        <v>27</v>
      </c>
    </row>
    <row r="522" spans="1:20" s="12" customFormat="1" ht="30" customHeight="1" thickTop="1" thickBot="1" x14ac:dyDescent="0.4">
      <c r="A522" s="7">
        <v>1521</v>
      </c>
      <c r="B522" s="8">
        <v>45813</v>
      </c>
      <c r="C522" s="14" t="s">
        <v>30</v>
      </c>
      <c r="D522" s="14" t="s">
        <v>38</v>
      </c>
      <c r="E522" s="14" t="s">
        <v>19</v>
      </c>
      <c r="F522" s="14" t="s">
        <v>20</v>
      </c>
      <c r="G522" s="7">
        <v>8</v>
      </c>
      <c r="H522" s="7">
        <v>300</v>
      </c>
      <c r="I522" s="9">
        <v>5</v>
      </c>
      <c r="J522" s="10">
        <f>SALCE[[#This Row],[After_Discount]]*SALCE[[#This Row],[Tax_%]]/100</f>
        <v>3.1920000000000006</v>
      </c>
      <c r="K522" s="11">
        <v>0.14000000000000001</v>
      </c>
      <c r="L522" s="10">
        <f>SALCE[[#This Row],[Quantity]]*SALCE[[#This Row],[Unit_Price]]</f>
        <v>2400</v>
      </c>
      <c r="M522" s="10">
        <f>SALCE[[#This Row],[Gross_Sales]]*SALCE[[#This Row],[Discount_%]]/100</f>
        <v>120</v>
      </c>
      <c r="N522" s="10">
        <f>SALCE[[#This Row],[After_Discount]]+SALCE[[#This Row],[Tax_Value]]</f>
        <v>2283.192</v>
      </c>
      <c r="O522" s="10">
        <f>SALCE[[#This Row],[Gross_Sales]]*70%</f>
        <v>1680</v>
      </c>
      <c r="P522" s="10">
        <f>SALCE[[#This Row],[Net_Sales]]-SALCE[[#This Row],[Cost_Price]]</f>
        <v>603.19200000000001</v>
      </c>
      <c r="Q522" s="10">
        <f>SALCE[[#This Row],[Gross_Sales]]-SALCE[[#This Row],[Discount_Value]]</f>
        <v>2280</v>
      </c>
      <c r="R522" s="15" t="s">
        <v>57</v>
      </c>
      <c r="S522" s="15" t="s">
        <v>37</v>
      </c>
      <c r="T522" s="15" t="s">
        <v>22</v>
      </c>
    </row>
    <row r="523" spans="1:20" s="12" customFormat="1" ht="30" customHeight="1" thickTop="1" thickBot="1" x14ac:dyDescent="0.4">
      <c r="A523" s="7">
        <v>1522</v>
      </c>
      <c r="B523" s="8">
        <v>45814</v>
      </c>
      <c r="C523" s="14" t="s">
        <v>35</v>
      </c>
      <c r="D523" s="14" t="s">
        <v>36</v>
      </c>
      <c r="E523" s="14" t="s">
        <v>34</v>
      </c>
      <c r="F523" s="14" t="s">
        <v>32</v>
      </c>
      <c r="G523" s="7">
        <v>2</v>
      </c>
      <c r="H523" s="7">
        <v>4000</v>
      </c>
      <c r="I523" s="9">
        <v>0</v>
      </c>
      <c r="J523" s="10">
        <f>SALCE[[#This Row],[After_Discount]]*SALCE[[#This Row],[Tax_%]]/100</f>
        <v>11.2</v>
      </c>
      <c r="K523" s="11">
        <v>0.14000000000000001</v>
      </c>
      <c r="L523" s="10">
        <f>SALCE[[#This Row],[Quantity]]*SALCE[[#This Row],[Unit_Price]]</f>
        <v>8000</v>
      </c>
      <c r="M523" s="10">
        <f>SALCE[[#This Row],[Gross_Sales]]*SALCE[[#This Row],[Discount_%]]/100</f>
        <v>0</v>
      </c>
      <c r="N523" s="10">
        <f>SALCE[[#This Row],[After_Discount]]+SALCE[[#This Row],[Tax_Value]]</f>
        <v>8011.2</v>
      </c>
      <c r="O523" s="10">
        <f>SALCE[[#This Row],[Gross_Sales]]*70%</f>
        <v>5600</v>
      </c>
      <c r="P523" s="10">
        <f>SALCE[[#This Row],[Net_Sales]]-SALCE[[#This Row],[Cost_Price]]</f>
        <v>2411.1999999999998</v>
      </c>
      <c r="Q523" s="10">
        <f>SALCE[[#This Row],[Gross_Sales]]-SALCE[[#This Row],[Discount_Value]]</f>
        <v>8000</v>
      </c>
      <c r="R523" s="15" t="s">
        <v>62</v>
      </c>
      <c r="S523" s="15" t="s">
        <v>21</v>
      </c>
      <c r="T523" s="15" t="s">
        <v>22</v>
      </c>
    </row>
    <row r="524" spans="1:20" s="12" customFormat="1" ht="30" customHeight="1" thickTop="1" thickBot="1" x14ac:dyDescent="0.4">
      <c r="A524" s="7">
        <v>1523</v>
      </c>
      <c r="B524" s="8">
        <v>45815</v>
      </c>
      <c r="C524" s="14" t="s">
        <v>35</v>
      </c>
      <c r="D524" s="14" t="s">
        <v>29</v>
      </c>
      <c r="E524" s="14" t="s">
        <v>40</v>
      </c>
      <c r="F524" s="14" t="s">
        <v>20</v>
      </c>
      <c r="G524" s="7">
        <v>6</v>
      </c>
      <c r="H524" s="7">
        <v>800</v>
      </c>
      <c r="I524" s="9">
        <v>5</v>
      </c>
      <c r="J524" s="10">
        <f>SALCE[[#This Row],[After_Discount]]*SALCE[[#This Row],[Tax_%]]/100</f>
        <v>6.3840000000000012</v>
      </c>
      <c r="K524" s="11">
        <v>0.14000000000000001</v>
      </c>
      <c r="L524" s="10">
        <f>SALCE[[#This Row],[Quantity]]*SALCE[[#This Row],[Unit_Price]]</f>
        <v>4800</v>
      </c>
      <c r="M524" s="10">
        <f>SALCE[[#This Row],[Gross_Sales]]*SALCE[[#This Row],[Discount_%]]/100</f>
        <v>240</v>
      </c>
      <c r="N524" s="10">
        <f>SALCE[[#This Row],[After_Discount]]+SALCE[[#This Row],[Tax_Value]]</f>
        <v>4566.384</v>
      </c>
      <c r="O524" s="10">
        <f>SALCE[[#This Row],[Gross_Sales]]*70%</f>
        <v>3360</v>
      </c>
      <c r="P524" s="10">
        <f>SALCE[[#This Row],[Net_Sales]]-SALCE[[#This Row],[Cost_Price]]</f>
        <v>1206.384</v>
      </c>
      <c r="Q524" s="10">
        <f>SALCE[[#This Row],[Gross_Sales]]-SALCE[[#This Row],[Discount_Value]]</f>
        <v>4560</v>
      </c>
      <c r="R524" s="15" t="s">
        <v>60</v>
      </c>
      <c r="S524" s="15" t="s">
        <v>26</v>
      </c>
      <c r="T524" s="15" t="s">
        <v>22</v>
      </c>
    </row>
    <row r="525" spans="1:20" s="12" customFormat="1" ht="30" customHeight="1" thickTop="1" thickBot="1" x14ac:dyDescent="0.4">
      <c r="A525" s="7">
        <v>1524</v>
      </c>
      <c r="B525" s="8">
        <v>45816</v>
      </c>
      <c r="C525" s="14" t="s">
        <v>39</v>
      </c>
      <c r="D525" s="14" t="s">
        <v>29</v>
      </c>
      <c r="E525" s="14" t="s">
        <v>19</v>
      </c>
      <c r="F525" s="14" t="s">
        <v>20</v>
      </c>
      <c r="G525" s="7">
        <v>7</v>
      </c>
      <c r="H525" s="7">
        <v>300</v>
      </c>
      <c r="I525" s="9">
        <v>5</v>
      </c>
      <c r="J525" s="10">
        <f>SALCE[[#This Row],[After_Discount]]*SALCE[[#This Row],[Tax_%]]/100</f>
        <v>2.7930000000000001</v>
      </c>
      <c r="K525" s="11">
        <v>0.14000000000000001</v>
      </c>
      <c r="L525" s="10">
        <f>SALCE[[#This Row],[Quantity]]*SALCE[[#This Row],[Unit_Price]]</f>
        <v>2100</v>
      </c>
      <c r="M525" s="10">
        <f>SALCE[[#This Row],[Gross_Sales]]*SALCE[[#This Row],[Discount_%]]/100</f>
        <v>105</v>
      </c>
      <c r="N525" s="10">
        <f>SALCE[[#This Row],[After_Discount]]+SALCE[[#This Row],[Tax_Value]]</f>
        <v>1997.7929999999999</v>
      </c>
      <c r="O525" s="10">
        <f>SALCE[[#This Row],[Gross_Sales]]*70%</f>
        <v>1470</v>
      </c>
      <c r="P525" s="10">
        <f>SALCE[[#This Row],[Net_Sales]]-SALCE[[#This Row],[Cost_Price]]</f>
        <v>527.79299999999989</v>
      </c>
      <c r="Q525" s="10">
        <f>SALCE[[#This Row],[Gross_Sales]]-SALCE[[#This Row],[Discount_Value]]</f>
        <v>1995</v>
      </c>
      <c r="R525" s="15" t="s">
        <v>58</v>
      </c>
      <c r="S525" s="15" t="s">
        <v>21</v>
      </c>
      <c r="T525" s="15" t="s">
        <v>22</v>
      </c>
    </row>
    <row r="526" spans="1:20" s="12" customFormat="1" ht="30" customHeight="1" thickTop="1" thickBot="1" x14ac:dyDescent="0.4">
      <c r="A526" s="7">
        <v>1525</v>
      </c>
      <c r="B526" s="8">
        <v>45817</v>
      </c>
      <c r="C526" s="14" t="s">
        <v>23</v>
      </c>
      <c r="D526" s="14" t="s">
        <v>24</v>
      </c>
      <c r="E526" s="14" t="s">
        <v>34</v>
      </c>
      <c r="F526" s="14" t="s">
        <v>32</v>
      </c>
      <c r="G526" s="7">
        <v>4</v>
      </c>
      <c r="H526" s="7">
        <v>4000</v>
      </c>
      <c r="I526" s="9">
        <v>10</v>
      </c>
      <c r="J526" s="10">
        <f>SALCE[[#This Row],[After_Discount]]*SALCE[[#This Row],[Tax_%]]/100</f>
        <v>20.160000000000004</v>
      </c>
      <c r="K526" s="11">
        <v>0.14000000000000001</v>
      </c>
      <c r="L526" s="10">
        <f>SALCE[[#This Row],[Quantity]]*SALCE[[#This Row],[Unit_Price]]</f>
        <v>16000</v>
      </c>
      <c r="M526" s="10">
        <f>SALCE[[#This Row],[Gross_Sales]]*SALCE[[#This Row],[Discount_%]]/100</f>
        <v>1600</v>
      </c>
      <c r="N526" s="10">
        <f>SALCE[[#This Row],[After_Discount]]+SALCE[[#This Row],[Tax_Value]]</f>
        <v>14420.16</v>
      </c>
      <c r="O526" s="10">
        <f>SALCE[[#This Row],[Gross_Sales]]*70%</f>
        <v>11200</v>
      </c>
      <c r="P526" s="10">
        <f>SALCE[[#This Row],[Net_Sales]]-SALCE[[#This Row],[Cost_Price]]</f>
        <v>3220.16</v>
      </c>
      <c r="Q526" s="10">
        <f>SALCE[[#This Row],[Gross_Sales]]-SALCE[[#This Row],[Discount_Value]]</f>
        <v>14400</v>
      </c>
      <c r="R526" s="15" t="s">
        <v>52</v>
      </c>
      <c r="S526" s="15" t="s">
        <v>26</v>
      </c>
      <c r="T526" s="15" t="s">
        <v>22</v>
      </c>
    </row>
    <row r="527" spans="1:20" s="12" customFormat="1" ht="30" customHeight="1" thickTop="1" thickBot="1" x14ac:dyDescent="0.4">
      <c r="A527" s="7">
        <v>1526</v>
      </c>
      <c r="B527" s="8">
        <v>45818</v>
      </c>
      <c r="C527" s="14" t="s">
        <v>17</v>
      </c>
      <c r="D527" s="14" t="s">
        <v>38</v>
      </c>
      <c r="E527" s="14" t="s">
        <v>25</v>
      </c>
      <c r="F527" s="14" t="s">
        <v>20</v>
      </c>
      <c r="G527" s="7">
        <v>2</v>
      </c>
      <c r="H527" s="7">
        <v>500</v>
      </c>
      <c r="I527" s="9">
        <v>10</v>
      </c>
      <c r="J527" s="10">
        <f>SALCE[[#This Row],[After_Discount]]*SALCE[[#This Row],[Tax_%]]/100</f>
        <v>1.2600000000000002</v>
      </c>
      <c r="K527" s="11">
        <v>0.14000000000000001</v>
      </c>
      <c r="L527" s="10">
        <f>SALCE[[#This Row],[Quantity]]*SALCE[[#This Row],[Unit_Price]]</f>
        <v>1000</v>
      </c>
      <c r="M527" s="10">
        <f>SALCE[[#This Row],[Gross_Sales]]*SALCE[[#This Row],[Discount_%]]/100</f>
        <v>100</v>
      </c>
      <c r="N527" s="10">
        <f>SALCE[[#This Row],[After_Discount]]+SALCE[[#This Row],[Tax_Value]]</f>
        <v>901.26</v>
      </c>
      <c r="O527" s="10">
        <f>SALCE[[#This Row],[Gross_Sales]]*70%</f>
        <v>700</v>
      </c>
      <c r="P527" s="10">
        <f>SALCE[[#This Row],[Net_Sales]]-SALCE[[#This Row],[Cost_Price]]</f>
        <v>201.26</v>
      </c>
      <c r="Q527" s="10">
        <f>SALCE[[#This Row],[Gross_Sales]]-SALCE[[#This Row],[Discount_Value]]</f>
        <v>900</v>
      </c>
      <c r="R527" s="15" t="s">
        <v>59</v>
      </c>
      <c r="S527" s="15" t="s">
        <v>21</v>
      </c>
      <c r="T527" s="15" t="s">
        <v>27</v>
      </c>
    </row>
    <row r="528" spans="1:20" s="12" customFormat="1" ht="30" customHeight="1" thickTop="1" thickBot="1" x14ac:dyDescent="0.4">
      <c r="A528" s="7">
        <v>1527</v>
      </c>
      <c r="B528" s="8">
        <v>45819</v>
      </c>
      <c r="C528" s="14" t="s">
        <v>28</v>
      </c>
      <c r="D528" s="14" t="s">
        <v>29</v>
      </c>
      <c r="E528" s="14" t="s">
        <v>31</v>
      </c>
      <c r="F528" s="14" t="s">
        <v>32</v>
      </c>
      <c r="G528" s="7">
        <v>3</v>
      </c>
      <c r="H528" s="7">
        <v>15000</v>
      </c>
      <c r="I528" s="9">
        <v>15</v>
      </c>
      <c r="J528" s="10">
        <f>SALCE[[#This Row],[After_Discount]]*SALCE[[#This Row],[Tax_%]]/100</f>
        <v>53.550000000000011</v>
      </c>
      <c r="K528" s="11">
        <v>0.14000000000000001</v>
      </c>
      <c r="L528" s="10">
        <f>SALCE[[#This Row],[Quantity]]*SALCE[[#This Row],[Unit_Price]]</f>
        <v>45000</v>
      </c>
      <c r="M528" s="10">
        <f>SALCE[[#This Row],[Gross_Sales]]*SALCE[[#This Row],[Discount_%]]/100</f>
        <v>6750</v>
      </c>
      <c r="N528" s="10">
        <f>SALCE[[#This Row],[After_Discount]]+SALCE[[#This Row],[Tax_Value]]</f>
        <v>38303.550000000003</v>
      </c>
      <c r="O528" s="10">
        <f>SALCE[[#This Row],[Gross_Sales]]*70%</f>
        <v>31499.999999999996</v>
      </c>
      <c r="P528" s="10">
        <f>SALCE[[#This Row],[Net_Sales]]-SALCE[[#This Row],[Cost_Price]]</f>
        <v>6803.5500000000065</v>
      </c>
      <c r="Q528" s="10">
        <f>SALCE[[#This Row],[Gross_Sales]]-SALCE[[#This Row],[Discount_Value]]</f>
        <v>38250</v>
      </c>
      <c r="R528" s="15" t="s">
        <v>61</v>
      </c>
      <c r="S528" s="15" t="s">
        <v>21</v>
      </c>
      <c r="T528" s="15" t="s">
        <v>22</v>
      </c>
    </row>
    <row r="529" spans="1:20" s="12" customFormat="1" ht="30" customHeight="1" thickTop="1" thickBot="1" x14ac:dyDescent="0.4">
      <c r="A529" s="7">
        <v>1528</v>
      </c>
      <c r="B529" s="8">
        <v>45820</v>
      </c>
      <c r="C529" s="14" t="s">
        <v>39</v>
      </c>
      <c r="D529" s="14" t="s">
        <v>36</v>
      </c>
      <c r="E529" s="14" t="s">
        <v>33</v>
      </c>
      <c r="F529" s="14" t="s">
        <v>32</v>
      </c>
      <c r="G529" s="7">
        <v>5</v>
      </c>
      <c r="H529" s="7">
        <v>6000</v>
      </c>
      <c r="I529" s="9">
        <v>5</v>
      </c>
      <c r="J529" s="10">
        <f>SALCE[[#This Row],[After_Discount]]*SALCE[[#This Row],[Tax_%]]/100</f>
        <v>39.900000000000006</v>
      </c>
      <c r="K529" s="11">
        <v>0.14000000000000001</v>
      </c>
      <c r="L529" s="10">
        <f>SALCE[[#This Row],[Quantity]]*SALCE[[#This Row],[Unit_Price]]</f>
        <v>30000</v>
      </c>
      <c r="M529" s="10">
        <f>SALCE[[#This Row],[Gross_Sales]]*SALCE[[#This Row],[Discount_%]]/100</f>
        <v>1500</v>
      </c>
      <c r="N529" s="10">
        <f>SALCE[[#This Row],[After_Discount]]+SALCE[[#This Row],[Tax_Value]]</f>
        <v>28539.9</v>
      </c>
      <c r="O529" s="10">
        <f>SALCE[[#This Row],[Gross_Sales]]*70%</f>
        <v>21000</v>
      </c>
      <c r="P529" s="10">
        <f>SALCE[[#This Row],[Net_Sales]]-SALCE[[#This Row],[Cost_Price]]</f>
        <v>7539.9000000000015</v>
      </c>
      <c r="Q529" s="10">
        <f>SALCE[[#This Row],[Gross_Sales]]-SALCE[[#This Row],[Discount_Value]]</f>
        <v>28500</v>
      </c>
      <c r="R529" s="15" t="s">
        <v>51</v>
      </c>
      <c r="S529" s="15" t="s">
        <v>21</v>
      </c>
      <c r="T529" s="15" t="s">
        <v>27</v>
      </c>
    </row>
    <row r="530" spans="1:20" s="12" customFormat="1" ht="30" customHeight="1" thickTop="1" thickBot="1" x14ac:dyDescent="0.4">
      <c r="A530" s="7">
        <v>1529</v>
      </c>
      <c r="B530" s="8">
        <v>45821</v>
      </c>
      <c r="C530" s="14" t="s">
        <v>17</v>
      </c>
      <c r="D530" s="14" t="s">
        <v>24</v>
      </c>
      <c r="E530" s="14" t="s">
        <v>34</v>
      </c>
      <c r="F530" s="14" t="s">
        <v>32</v>
      </c>
      <c r="G530" s="7">
        <v>3</v>
      </c>
      <c r="H530" s="7">
        <v>4000</v>
      </c>
      <c r="I530" s="9">
        <v>10</v>
      </c>
      <c r="J530" s="10">
        <f>SALCE[[#This Row],[After_Discount]]*SALCE[[#This Row],[Tax_%]]/100</f>
        <v>15.120000000000003</v>
      </c>
      <c r="K530" s="11">
        <v>0.14000000000000001</v>
      </c>
      <c r="L530" s="10">
        <f>SALCE[[#This Row],[Quantity]]*SALCE[[#This Row],[Unit_Price]]</f>
        <v>12000</v>
      </c>
      <c r="M530" s="10">
        <f>SALCE[[#This Row],[Gross_Sales]]*SALCE[[#This Row],[Discount_%]]/100</f>
        <v>1200</v>
      </c>
      <c r="N530" s="10">
        <f>SALCE[[#This Row],[After_Discount]]+SALCE[[#This Row],[Tax_Value]]</f>
        <v>10815.12</v>
      </c>
      <c r="O530" s="10">
        <f>SALCE[[#This Row],[Gross_Sales]]*70%</f>
        <v>8400</v>
      </c>
      <c r="P530" s="10">
        <f>SALCE[[#This Row],[Net_Sales]]-SALCE[[#This Row],[Cost_Price]]</f>
        <v>2415.1200000000008</v>
      </c>
      <c r="Q530" s="10">
        <f>SALCE[[#This Row],[Gross_Sales]]-SALCE[[#This Row],[Discount_Value]]</f>
        <v>10800</v>
      </c>
      <c r="R530" s="15" t="s">
        <v>53</v>
      </c>
      <c r="S530" s="15" t="s">
        <v>37</v>
      </c>
      <c r="T530" s="15" t="s">
        <v>22</v>
      </c>
    </row>
    <row r="531" spans="1:20" s="12" customFormat="1" ht="30" customHeight="1" thickTop="1" thickBot="1" x14ac:dyDescent="0.4">
      <c r="A531" s="7">
        <v>1530</v>
      </c>
      <c r="B531" s="8">
        <v>45822</v>
      </c>
      <c r="C531" s="14" t="s">
        <v>35</v>
      </c>
      <c r="D531" s="14" t="s">
        <v>24</v>
      </c>
      <c r="E531" s="14" t="s">
        <v>33</v>
      </c>
      <c r="F531" s="14" t="s">
        <v>32</v>
      </c>
      <c r="G531" s="7">
        <v>4</v>
      </c>
      <c r="H531" s="7">
        <v>6000</v>
      </c>
      <c r="I531" s="9">
        <v>5</v>
      </c>
      <c r="J531" s="10">
        <f>SALCE[[#This Row],[After_Discount]]*SALCE[[#This Row],[Tax_%]]/100</f>
        <v>31.920000000000005</v>
      </c>
      <c r="K531" s="11">
        <v>0.14000000000000001</v>
      </c>
      <c r="L531" s="10">
        <f>SALCE[[#This Row],[Quantity]]*SALCE[[#This Row],[Unit_Price]]</f>
        <v>24000</v>
      </c>
      <c r="M531" s="10">
        <f>SALCE[[#This Row],[Gross_Sales]]*SALCE[[#This Row],[Discount_%]]/100</f>
        <v>1200</v>
      </c>
      <c r="N531" s="10">
        <f>SALCE[[#This Row],[After_Discount]]+SALCE[[#This Row],[Tax_Value]]</f>
        <v>22831.919999999998</v>
      </c>
      <c r="O531" s="10">
        <f>SALCE[[#This Row],[Gross_Sales]]*70%</f>
        <v>16800</v>
      </c>
      <c r="P531" s="10">
        <f>SALCE[[#This Row],[Net_Sales]]-SALCE[[#This Row],[Cost_Price]]</f>
        <v>6031.9199999999983</v>
      </c>
      <c r="Q531" s="10">
        <f>SALCE[[#This Row],[Gross_Sales]]-SALCE[[#This Row],[Discount_Value]]</f>
        <v>22800</v>
      </c>
      <c r="R531" s="15" t="s">
        <v>53</v>
      </c>
      <c r="S531" s="15" t="s">
        <v>21</v>
      </c>
      <c r="T531" s="15" t="s">
        <v>22</v>
      </c>
    </row>
    <row r="532" spans="1:20" s="12" customFormat="1" ht="30" customHeight="1" thickTop="1" thickBot="1" x14ac:dyDescent="0.4">
      <c r="A532" s="7">
        <v>1531</v>
      </c>
      <c r="B532" s="8">
        <v>45823</v>
      </c>
      <c r="C532" s="14" t="s">
        <v>30</v>
      </c>
      <c r="D532" s="14" t="s">
        <v>41</v>
      </c>
      <c r="E532" s="14" t="s">
        <v>34</v>
      </c>
      <c r="F532" s="14" t="s">
        <v>32</v>
      </c>
      <c r="G532" s="7">
        <v>6</v>
      </c>
      <c r="H532" s="7">
        <v>4000</v>
      </c>
      <c r="I532" s="9">
        <v>15</v>
      </c>
      <c r="J532" s="10">
        <f>SALCE[[#This Row],[After_Discount]]*SALCE[[#This Row],[Tax_%]]/100</f>
        <v>28.560000000000006</v>
      </c>
      <c r="K532" s="11">
        <v>0.14000000000000001</v>
      </c>
      <c r="L532" s="10">
        <f>SALCE[[#This Row],[Quantity]]*SALCE[[#This Row],[Unit_Price]]</f>
        <v>24000</v>
      </c>
      <c r="M532" s="10">
        <f>SALCE[[#This Row],[Gross_Sales]]*SALCE[[#This Row],[Discount_%]]/100</f>
        <v>3600</v>
      </c>
      <c r="N532" s="10">
        <f>SALCE[[#This Row],[After_Discount]]+SALCE[[#This Row],[Tax_Value]]</f>
        <v>20428.560000000001</v>
      </c>
      <c r="O532" s="10">
        <f>SALCE[[#This Row],[Gross_Sales]]*70%</f>
        <v>16800</v>
      </c>
      <c r="P532" s="10">
        <f>SALCE[[#This Row],[Net_Sales]]-SALCE[[#This Row],[Cost_Price]]</f>
        <v>3628.5600000000013</v>
      </c>
      <c r="Q532" s="10">
        <f>SALCE[[#This Row],[Gross_Sales]]-SALCE[[#This Row],[Discount_Value]]</f>
        <v>20400</v>
      </c>
      <c r="R532" s="15" t="s">
        <v>47</v>
      </c>
      <c r="S532" s="15" t="s">
        <v>21</v>
      </c>
      <c r="T532" s="15" t="s">
        <v>27</v>
      </c>
    </row>
    <row r="533" spans="1:20" s="12" customFormat="1" ht="30" customHeight="1" thickTop="1" thickBot="1" x14ac:dyDescent="0.4">
      <c r="A533" s="7">
        <v>1532</v>
      </c>
      <c r="B533" s="8">
        <v>45824</v>
      </c>
      <c r="C533" s="14" t="s">
        <v>35</v>
      </c>
      <c r="D533" s="14" t="s">
        <v>18</v>
      </c>
      <c r="E533" s="14" t="s">
        <v>25</v>
      </c>
      <c r="F533" s="14" t="s">
        <v>20</v>
      </c>
      <c r="G533" s="7">
        <v>1</v>
      </c>
      <c r="H533" s="7">
        <v>500</v>
      </c>
      <c r="I533" s="9">
        <v>0</v>
      </c>
      <c r="J533" s="10">
        <f>SALCE[[#This Row],[After_Discount]]*SALCE[[#This Row],[Tax_%]]/100</f>
        <v>0.7</v>
      </c>
      <c r="K533" s="11">
        <v>0.14000000000000001</v>
      </c>
      <c r="L533" s="10">
        <f>SALCE[[#This Row],[Quantity]]*SALCE[[#This Row],[Unit_Price]]</f>
        <v>500</v>
      </c>
      <c r="M533" s="10">
        <f>SALCE[[#This Row],[Gross_Sales]]*SALCE[[#This Row],[Discount_%]]/100</f>
        <v>0</v>
      </c>
      <c r="N533" s="10">
        <f>SALCE[[#This Row],[After_Discount]]+SALCE[[#This Row],[Tax_Value]]</f>
        <v>500.7</v>
      </c>
      <c r="O533" s="10">
        <f>SALCE[[#This Row],[Gross_Sales]]*70%</f>
        <v>350</v>
      </c>
      <c r="P533" s="10">
        <f>SALCE[[#This Row],[Net_Sales]]-SALCE[[#This Row],[Cost_Price]]</f>
        <v>150.69999999999999</v>
      </c>
      <c r="Q533" s="10">
        <f>SALCE[[#This Row],[Gross_Sales]]-SALCE[[#This Row],[Discount_Value]]</f>
        <v>500</v>
      </c>
      <c r="R533" s="15" t="s">
        <v>56</v>
      </c>
      <c r="S533" s="15" t="s">
        <v>26</v>
      </c>
      <c r="T533" s="15" t="s">
        <v>27</v>
      </c>
    </row>
    <row r="534" spans="1:20" s="12" customFormat="1" ht="30" customHeight="1" thickTop="1" thickBot="1" x14ac:dyDescent="0.4">
      <c r="A534" s="7">
        <v>1533</v>
      </c>
      <c r="B534" s="8">
        <v>45825</v>
      </c>
      <c r="C534" s="14" t="s">
        <v>28</v>
      </c>
      <c r="D534" s="14" t="s">
        <v>24</v>
      </c>
      <c r="E534" s="14" t="s">
        <v>40</v>
      </c>
      <c r="F534" s="14" t="s">
        <v>20</v>
      </c>
      <c r="G534" s="7">
        <v>1</v>
      </c>
      <c r="H534" s="7">
        <v>800</v>
      </c>
      <c r="I534" s="9">
        <v>5</v>
      </c>
      <c r="J534" s="10">
        <f>SALCE[[#This Row],[After_Discount]]*SALCE[[#This Row],[Tax_%]]/100</f>
        <v>1.0640000000000001</v>
      </c>
      <c r="K534" s="11">
        <v>0.14000000000000001</v>
      </c>
      <c r="L534" s="10">
        <f>SALCE[[#This Row],[Quantity]]*SALCE[[#This Row],[Unit_Price]]</f>
        <v>800</v>
      </c>
      <c r="M534" s="10">
        <f>SALCE[[#This Row],[Gross_Sales]]*SALCE[[#This Row],[Discount_%]]/100</f>
        <v>40</v>
      </c>
      <c r="N534" s="10">
        <f>SALCE[[#This Row],[After_Discount]]+SALCE[[#This Row],[Tax_Value]]</f>
        <v>761.06399999999996</v>
      </c>
      <c r="O534" s="10">
        <f>SALCE[[#This Row],[Gross_Sales]]*70%</f>
        <v>560</v>
      </c>
      <c r="P534" s="10">
        <f>SALCE[[#This Row],[Net_Sales]]-SALCE[[#This Row],[Cost_Price]]</f>
        <v>201.06399999999996</v>
      </c>
      <c r="Q534" s="10">
        <f>SALCE[[#This Row],[Gross_Sales]]-SALCE[[#This Row],[Discount_Value]]</f>
        <v>760</v>
      </c>
      <c r="R534" s="15" t="s">
        <v>60</v>
      </c>
      <c r="S534" s="15" t="s">
        <v>26</v>
      </c>
      <c r="T534" s="15" t="s">
        <v>22</v>
      </c>
    </row>
    <row r="535" spans="1:20" s="12" customFormat="1" ht="30" customHeight="1" thickTop="1" thickBot="1" x14ac:dyDescent="0.4">
      <c r="A535" s="7">
        <v>1534</v>
      </c>
      <c r="B535" s="8">
        <v>45826</v>
      </c>
      <c r="C535" s="14" t="s">
        <v>30</v>
      </c>
      <c r="D535" s="14" t="s">
        <v>24</v>
      </c>
      <c r="E535" s="14" t="s">
        <v>25</v>
      </c>
      <c r="F535" s="14" t="s">
        <v>20</v>
      </c>
      <c r="G535" s="7">
        <v>2</v>
      </c>
      <c r="H535" s="7">
        <v>500</v>
      </c>
      <c r="I535" s="9">
        <v>15</v>
      </c>
      <c r="J535" s="10">
        <f>SALCE[[#This Row],[After_Discount]]*SALCE[[#This Row],[Tax_%]]/100</f>
        <v>1.1900000000000002</v>
      </c>
      <c r="K535" s="11">
        <v>0.14000000000000001</v>
      </c>
      <c r="L535" s="10">
        <f>SALCE[[#This Row],[Quantity]]*SALCE[[#This Row],[Unit_Price]]</f>
        <v>1000</v>
      </c>
      <c r="M535" s="10">
        <f>SALCE[[#This Row],[Gross_Sales]]*SALCE[[#This Row],[Discount_%]]/100</f>
        <v>150</v>
      </c>
      <c r="N535" s="10">
        <f>SALCE[[#This Row],[After_Discount]]+SALCE[[#This Row],[Tax_Value]]</f>
        <v>851.19</v>
      </c>
      <c r="O535" s="10">
        <f>SALCE[[#This Row],[Gross_Sales]]*70%</f>
        <v>700</v>
      </c>
      <c r="P535" s="10">
        <f>SALCE[[#This Row],[Net_Sales]]-SALCE[[#This Row],[Cost_Price]]</f>
        <v>151.19000000000005</v>
      </c>
      <c r="Q535" s="10">
        <f>SALCE[[#This Row],[Gross_Sales]]-SALCE[[#This Row],[Discount_Value]]</f>
        <v>850</v>
      </c>
      <c r="R535" s="15" t="s">
        <v>47</v>
      </c>
      <c r="S535" s="15" t="s">
        <v>21</v>
      </c>
      <c r="T535" s="15" t="s">
        <v>27</v>
      </c>
    </row>
    <row r="536" spans="1:20" s="12" customFormat="1" ht="30" customHeight="1" thickTop="1" thickBot="1" x14ac:dyDescent="0.4">
      <c r="A536" s="7">
        <v>1535</v>
      </c>
      <c r="B536" s="8">
        <v>45827</v>
      </c>
      <c r="C536" s="14" t="s">
        <v>30</v>
      </c>
      <c r="D536" s="14" t="s">
        <v>29</v>
      </c>
      <c r="E536" s="14" t="s">
        <v>31</v>
      </c>
      <c r="F536" s="14" t="s">
        <v>32</v>
      </c>
      <c r="G536" s="7">
        <v>9</v>
      </c>
      <c r="H536" s="7">
        <v>15000</v>
      </c>
      <c r="I536" s="9">
        <v>15</v>
      </c>
      <c r="J536" s="10">
        <f>SALCE[[#This Row],[After_Discount]]*SALCE[[#This Row],[Tax_%]]/100</f>
        <v>160.65</v>
      </c>
      <c r="K536" s="11">
        <v>0.14000000000000001</v>
      </c>
      <c r="L536" s="10">
        <f>SALCE[[#This Row],[Quantity]]*SALCE[[#This Row],[Unit_Price]]</f>
        <v>135000</v>
      </c>
      <c r="M536" s="10">
        <f>SALCE[[#This Row],[Gross_Sales]]*SALCE[[#This Row],[Discount_%]]/100</f>
        <v>20250</v>
      </c>
      <c r="N536" s="10">
        <f>SALCE[[#This Row],[After_Discount]]+SALCE[[#This Row],[Tax_Value]]</f>
        <v>114910.65</v>
      </c>
      <c r="O536" s="10">
        <f>SALCE[[#This Row],[Gross_Sales]]*70%</f>
        <v>94500</v>
      </c>
      <c r="P536" s="10">
        <f>SALCE[[#This Row],[Net_Sales]]-SALCE[[#This Row],[Cost_Price]]</f>
        <v>20410.649999999994</v>
      </c>
      <c r="Q536" s="10">
        <f>SALCE[[#This Row],[Gross_Sales]]-SALCE[[#This Row],[Discount_Value]]</f>
        <v>114750</v>
      </c>
      <c r="R536" s="15" t="s">
        <v>49</v>
      </c>
      <c r="S536" s="15" t="s">
        <v>26</v>
      </c>
      <c r="T536" s="15" t="s">
        <v>27</v>
      </c>
    </row>
    <row r="537" spans="1:20" s="12" customFormat="1" ht="30" customHeight="1" thickTop="1" thickBot="1" x14ac:dyDescent="0.4">
      <c r="A537" s="7">
        <v>1536</v>
      </c>
      <c r="B537" s="8">
        <v>45828</v>
      </c>
      <c r="C537" s="14" t="s">
        <v>30</v>
      </c>
      <c r="D537" s="14" t="s">
        <v>36</v>
      </c>
      <c r="E537" s="14" t="s">
        <v>33</v>
      </c>
      <c r="F537" s="14" t="s">
        <v>32</v>
      </c>
      <c r="G537" s="7">
        <v>2</v>
      </c>
      <c r="H537" s="7">
        <v>6000</v>
      </c>
      <c r="I537" s="9">
        <v>15</v>
      </c>
      <c r="J537" s="10">
        <f>SALCE[[#This Row],[After_Discount]]*SALCE[[#This Row],[Tax_%]]/100</f>
        <v>14.280000000000003</v>
      </c>
      <c r="K537" s="11">
        <v>0.14000000000000001</v>
      </c>
      <c r="L537" s="10">
        <f>SALCE[[#This Row],[Quantity]]*SALCE[[#This Row],[Unit_Price]]</f>
        <v>12000</v>
      </c>
      <c r="M537" s="10">
        <f>SALCE[[#This Row],[Gross_Sales]]*SALCE[[#This Row],[Discount_%]]/100</f>
        <v>1800</v>
      </c>
      <c r="N537" s="10">
        <f>SALCE[[#This Row],[After_Discount]]+SALCE[[#This Row],[Tax_Value]]</f>
        <v>10214.280000000001</v>
      </c>
      <c r="O537" s="10">
        <f>SALCE[[#This Row],[Gross_Sales]]*70%</f>
        <v>8400</v>
      </c>
      <c r="P537" s="10">
        <f>SALCE[[#This Row],[Net_Sales]]-SALCE[[#This Row],[Cost_Price]]</f>
        <v>1814.2800000000007</v>
      </c>
      <c r="Q537" s="10">
        <f>SALCE[[#This Row],[Gross_Sales]]-SALCE[[#This Row],[Discount_Value]]</f>
        <v>10200</v>
      </c>
      <c r="R537" s="15" t="s">
        <v>52</v>
      </c>
      <c r="S537" s="15" t="s">
        <v>26</v>
      </c>
      <c r="T537" s="15" t="s">
        <v>22</v>
      </c>
    </row>
    <row r="538" spans="1:20" s="12" customFormat="1" ht="30" customHeight="1" thickTop="1" thickBot="1" x14ac:dyDescent="0.4">
      <c r="A538" s="7">
        <v>1537</v>
      </c>
      <c r="B538" s="8">
        <v>45829</v>
      </c>
      <c r="C538" s="14" t="s">
        <v>17</v>
      </c>
      <c r="D538" s="14" t="s">
        <v>36</v>
      </c>
      <c r="E538" s="14" t="s">
        <v>33</v>
      </c>
      <c r="F538" s="14" t="s">
        <v>32</v>
      </c>
      <c r="G538" s="7">
        <v>1</v>
      </c>
      <c r="H538" s="7">
        <v>6000</v>
      </c>
      <c r="I538" s="9">
        <v>0</v>
      </c>
      <c r="J538" s="10">
        <f>SALCE[[#This Row],[After_Discount]]*SALCE[[#This Row],[Tax_%]]/100</f>
        <v>8.4</v>
      </c>
      <c r="K538" s="11">
        <v>0.14000000000000001</v>
      </c>
      <c r="L538" s="10">
        <f>SALCE[[#This Row],[Quantity]]*SALCE[[#This Row],[Unit_Price]]</f>
        <v>6000</v>
      </c>
      <c r="M538" s="10">
        <f>SALCE[[#This Row],[Gross_Sales]]*SALCE[[#This Row],[Discount_%]]/100</f>
        <v>0</v>
      </c>
      <c r="N538" s="10">
        <f>SALCE[[#This Row],[After_Discount]]+SALCE[[#This Row],[Tax_Value]]</f>
        <v>6008.4</v>
      </c>
      <c r="O538" s="10">
        <f>SALCE[[#This Row],[Gross_Sales]]*70%</f>
        <v>4200</v>
      </c>
      <c r="P538" s="10">
        <f>SALCE[[#This Row],[Net_Sales]]-SALCE[[#This Row],[Cost_Price]]</f>
        <v>1808.3999999999996</v>
      </c>
      <c r="Q538" s="10">
        <f>SALCE[[#This Row],[Gross_Sales]]-SALCE[[#This Row],[Discount_Value]]</f>
        <v>6000</v>
      </c>
      <c r="R538" s="15" t="s">
        <v>58</v>
      </c>
      <c r="S538" s="15" t="s">
        <v>37</v>
      </c>
      <c r="T538" s="15" t="s">
        <v>27</v>
      </c>
    </row>
    <row r="539" spans="1:20" s="12" customFormat="1" ht="30" customHeight="1" thickTop="1" thickBot="1" x14ac:dyDescent="0.4">
      <c r="A539" s="7">
        <v>1538</v>
      </c>
      <c r="B539" s="8">
        <v>45830</v>
      </c>
      <c r="C539" s="14" t="s">
        <v>17</v>
      </c>
      <c r="D539" s="14" t="s">
        <v>38</v>
      </c>
      <c r="E539" s="14" t="s">
        <v>19</v>
      </c>
      <c r="F539" s="14" t="s">
        <v>20</v>
      </c>
      <c r="G539" s="7">
        <v>3</v>
      </c>
      <c r="H539" s="7">
        <v>300</v>
      </c>
      <c r="I539" s="9">
        <v>5</v>
      </c>
      <c r="J539" s="10">
        <f>SALCE[[#This Row],[After_Discount]]*SALCE[[#This Row],[Tax_%]]/100</f>
        <v>1.1970000000000001</v>
      </c>
      <c r="K539" s="11">
        <v>0.14000000000000001</v>
      </c>
      <c r="L539" s="10">
        <f>SALCE[[#This Row],[Quantity]]*SALCE[[#This Row],[Unit_Price]]</f>
        <v>900</v>
      </c>
      <c r="M539" s="10">
        <f>SALCE[[#This Row],[Gross_Sales]]*SALCE[[#This Row],[Discount_%]]/100</f>
        <v>45</v>
      </c>
      <c r="N539" s="10">
        <f>SALCE[[#This Row],[After_Discount]]+SALCE[[#This Row],[Tax_Value]]</f>
        <v>856.197</v>
      </c>
      <c r="O539" s="10">
        <f>SALCE[[#This Row],[Gross_Sales]]*70%</f>
        <v>630</v>
      </c>
      <c r="P539" s="10">
        <f>SALCE[[#This Row],[Net_Sales]]-SALCE[[#This Row],[Cost_Price]]</f>
        <v>226.197</v>
      </c>
      <c r="Q539" s="10">
        <f>SALCE[[#This Row],[Gross_Sales]]-SALCE[[#This Row],[Discount_Value]]</f>
        <v>855</v>
      </c>
      <c r="R539" s="15" t="s">
        <v>62</v>
      </c>
      <c r="S539" s="15" t="s">
        <v>21</v>
      </c>
      <c r="T539" s="15" t="s">
        <v>27</v>
      </c>
    </row>
    <row r="540" spans="1:20" s="12" customFormat="1" ht="30" customHeight="1" thickTop="1" thickBot="1" x14ac:dyDescent="0.4">
      <c r="A540" s="7">
        <v>1539</v>
      </c>
      <c r="B540" s="8">
        <v>45831</v>
      </c>
      <c r="C540" s="14" t="s">
        <v>39</v>
      </c>
      <c r="D540" s="14" t="s">
        <v>36</v>
      </c>
      <c r="E540" s="14" t="s">
        <v>34</v>
      </c>
      <c r="F540" s="14" t="s">
        <v>32</v>
      </c>
      <c r="G540" s="7">
        <v>7</v>
      </c>
      <c r="H540" s="7">
        <v>4000</v>
      </c>
      <c r="I540" s="9">
        <v>0</v>
      </c>
      <c r="J540" s="10">
        <f>SALCE[[#This Row],[After_Discount]]*SALCE[[#This Row],[Tax_%]]/100</f>
        <v>39.200000000000003</v>
      </c>
      <c r="K540" s="11">
        <v>0.14000000000000001</v>
      </c>
      <c r="L540" s="10">
        <f>SALCE[[#This Row],[Quantity]]*SALCE[[#This Row],[Unit_Price]]</f>
        <v>28000</v>
      </c>
      <c r="M540" s="10">
        <f>SALCE[[#This Row],[Gross_Sales]]*SALCE[[#This Row],[Discount_%]]/100</f>
        <v>0</v>
      </c>
      <c r="N540" s="10">
        <f>SALCE[[#This Row],[After_Discount]]+SALCE[[#This Row],[Tax_Value]]</f>
        <v>28039.200000000001</v>
      </c>
      <c r="O540" s="10">
        <f>SALCE[[#This Row],[Gross_Sales]]*70%</f>
        <v>19600</v>
      </c>
      <c r="P540" s="10">
        <f>SALCE[[#This Row],[Net_Sales]]-SALCE[[#This Row],[Cost_Price]]</f>
        <v>8439.2000000000007</v>
      </c>
      <c r="Q540" s="10">
        <f>SALCE[[#This Row],[Gross_Sales]]-SALCE[[#This Row],[Discount_Value]]</f>
        <v>28000</v>
      </c>
      <c r="R540" s="15" t="s">
        <v>52</v>
      </c>
      <c r="S540" s="15" t="s">
        <v>26</v>
      </c>
      <c r="T540" s="15" t="s">
        <v>27</v>
      </c>
    </row>
    <row r="541" spans="1:20" s="12" customFormat="1" ht="30" customHeight="1" thickTop="1" thickBot="1" x14ac:dyDescent="0.4">
      <c r="A541" s="7">
        <v>1540</v>
      </c>
      <c r="B541" s="8">
        <v>45832</v>
      </c>
      <c r="C541" s="14" t="s">
        <v>23</v>
      </c>
      <c r="D541" s="14" t="s">
        <v>38</v>
      </c>
      <c r="E541" s="14" t="s">
        <v>34</v>
      </c>
      <c r="F541" s="14" t="s">
        <v>32</v>
      </c>
      <c r="G541" s="7">
        <v>9</v>
      </c>
      <c r="H541" s="7">
        <v>4000</v>
      </c>
      <c r="I541" s="9">
        <v>10</v>
      </c>
      <c r="J541" s="10">
        <f>SALCE[[#This Row],[After_Discount]]*SALCE[[#This Row],[Tax_%]]/100</f>
        <v>45.36</v>
      </c>
      <c r="K541" s="11">
        <v>0.14000000000000001</v>
      </c>
      <c r="L541" s="10">
        <f>SALCE[[#This Row],[Quantity]]*SALCE[[#This Row],[Unit_Price]]</f>
        <v>36000</v>
      </c>
      <c r="M541" s="10">
        <f>SALCE[[#This Row],[Gross_Sales]]*SALCE[[#This Row],[Discount_%]]/100</f>
        <v>3600</v>
      </c>
      <c r="N541" s="10">
        <f>SALCE[[#This Row],[After_Discount]]+SALCE[[#This Row],[Tax_Value]]</f>
        <v>32445.360000000001</v>
      </c>
      <c r="O541" s="10">
        <f>SALCE[[#This Row],[Gross_Sales]]*70%</f>
        <v>25200</v>
      </c>
      <c r="P541" s="10">
        <f>SALCE[[#This Row],[Net_Sales]]-SALCE[[#This Row],[Cost_Price]]</f>
        <v>7245.3600000000006</v>
      </c>
      <c r="Q541" s="10">
        <f>SALCE[[#This Row],[Gross_Sales]]-SALCE[[#This Row],[Discount_Value]]</f>
        <v>32400</v>
      </c>
      <c r="R541" s="15" t="s">
        <v>62</v>
      </c>
      <c r="S541" s="15" t="s">
        <v>21</v>
      </c>
      <c r="T541" s="15" t="s">
        <v>27</v>
      </c>
    </row>
    <row r="542" spans="1:20" s="12" customFormat="1" ht="30" customHeight="1" thickTop="1" thickBot="1" x14ac:dyDescent="0.4">
      <c r="A542" s="7">
        <v>1541</v>
      </c>
      <c r="B542" s="8">
        <v>45833</v>
      </c>
      <c r="C542" s="14" t="s">
        <v>39</v>
      </c>
      <c r="D542" s="14" t="s">
        <v>18</v>
      </c>
      <c r="E542" s="14" t="s">
        <v>25</v>
      </c>
      <c r="F542" s="14" t="s">
        <v>20</v>
      </c>
      <c r="G542" s="7">
        <v>9</v>
      </c>
      <c r="H542" s="7">
        <v>500</v>
      </c>
      <c r="I542" s="9">
        <v>5</v>
      </c>
      <c r="J542" s="10">
        <f>SALCE[[#This Row],[After_Discount]]*SALCE[[#This Row],[Tax_%]]/100</f>
        <v>5.9850000000000012</v>
      </c>
      <c r="K542" s="11">
        <v>0.14000000000000001</v>
      </c>
      <c r="L542" s="10">
        <f>SALCE[[#This Row],[Quantity]]*SALCE[[#This Row],[Unit_Price]]</f>
        <v>4500</v>
      </c>
      <c r="M542" s="10">
        <f>SALCE[[#This Row],[Gross_Sales]]*SALCE[[#This Row],[Discount_%]]/100</f>
        <v>225</v>
      </c>
      <c r="N542" s="10">
        <f>SALCE[[#This Row],[After_Discount]]+SALCE[[#This Row],[Tax_Value]]</f>
        <v>4280.9849999999997</v>
      </c>
      <c r="O542" s="10">
        <f>SALCE[[#This Row],[Gross_Sales]]*70%</f>
        <v>3150</v>
      </c>
      <c r="P542" s="10">
        <f>SALCE[[#This Row],[Net_Sales]]-SALCE[[#This Row],[Cost_Price]]</f>
        <v>1130.9849999999997</v>
      </c>
      <c r="Q542" s="10">
        <f>SALCE[[#This Row],[Gross_Sales]]-SALCE[[#This Row],[Discount_Value]]</f>
        <v>4275</v>
      </c>
      <c r="R542" s="15" t="s">
        <v>62</v>
      </c>
      <c r="S542" s="15" t="s">
        <v>37</v>
      </c>
      <c r="T542" s="15" t="s">
        <v>27</v>
      </c>
    </row>
    <row r="543" spans="1:20" s="12" customFormat="1" ht="30" customHeight="1" thickTop="1" thickBot="1" x14ac:dyDescent="0.4">
      <c r="A543" s="7">
        <v>1542</v>
      </c>
      <c r="B543" s="8">
        <v>45834</v>
      </c>
      <c r="C543" s="14" t="s">
        <v>28</v>
      </c>
      <c r="D543" s="14" t="s">
        <v>18</v>
      </c>
      <c r="E543" s="14" t="s">
        <v>34</v>
      </c>
      <c r="F543" s="14" t="s">
        <v>32</v>
      </c>
      <c r="G543" s="7">
        <v>8</v>
      </c>
      <c r="H543" s="7">
        <v>4000</v>
      </c>
      <c r="I543" s="9">
        <v>10</v>
      </c>
      <c r="J543" s="10">
        <f>SALCE[[#This Row],[After_Discount]]*SALCE[[#This Row],[Tax_%]]/100</f>
        <v>40.320000000000007</v>
      </c>
      <c r="K543" s="11">
        <v>0.14000000000000001</v>
      </c>
      <c r="L543" s="10">
        <f>SALCE[[#This Row],[Quantity]]*SALCE[[#This Row],[Unit_Price]]</f>
        <v>32000</v>
      </c>
      <c r="M543" s="10">
        <f>SALCE[[#This Row],[Gross_Sales]]*SALCE[[#This Row],[Discount_%]]/100</f>
        <v>3200</v>
      </c>
      <c r="N543" s="10">
        <f>SALCE[[#This Row],[After_Discount]]+SALCE[[#This Row],[Tax_Value]]</f>
        <v>28840.32</v>
      </c>
      <c r="O543" s="10">
        <f>SALCE[[#This Row],[Gross_Sales]]*70%</f>
        <v>22400</v>
      </c>
      <c r="P543" s="10">
        <f>SALCE[[#This Row],[Net_Sales]]-SALCE[[#This Row],[Cost_Price]]</f>
        <v>6440.32</v>
      </c>
      <c r="Q543" s="10">
        <f>SALCE[[#This Row],[Gross_Sales]]-SALCE[[#This Row],[Discount_Value]]</f>
        <v>28800</v>
      </c>
      <c r="R543" s="15" t="s">
        <v>54</v>
      </c>
      <c r="S543" s="15" t="s">
        <v>37</v>
      </c>
      <c r="T543" s="15" t="s">
        <v>27</v>
      </c>
    </row>
    <row r="544" spans="1:20" s="12" customFormat="1" ht="30" customHeight="1" thickTop="1" thickBot="1" x14ac:dyDescent="0.4">
      <c r="A544" s="7">
        <v>1543</v>
      </c>
      <c r="B544" s="8">
        <v>45835</v>
      </c>
      <c r="C544" s="14" t="s">
        <v>35</v>
      </c>
      <c r="D544" s="14" t="s">
        <v>36</v>
      </c>
      <c r="E544" s="14" t="s">
        <v>40</v>
      </c>
      <c r="F544" s="14" t="s">
        <v>20</v>
      </c>
      <c r="G544" s="7">
        <v>5</v>
      </c>
      <c r="H544" s="7">
        <v>800</v>
      </c>
      <c r="I544" s="9">
        <v>5</v>
      </c>
      <c r="J544" s="10">
        <f>SALCE[[#This Row],[After_Discount]]*SALCE[[#This Row],[Tax_%]]/100</f>
        <v>5.32</v>
      </c>
      <c r="K544" s="11">
        <v>0.14000000000000001</v>
      </c>
      <c r="L544" s="10">
        <f>SALCE[[#This Row],[Quantity]]*SALCE[[#This Row],[Unit_Price]]</f>
        <v>4000</v>
      </c>
      <c r="M544" s="10">
        <f>SALCE[[#This Row],[Gross_Sales]]*SALCE[[#This Row],[Discount_%]]/100</f>
        <v>200</v>
      </c>
      <c r="N544" s="10">
        <f>SALCE[[#This Row],[After_Discount]]+SALCE[[#This Row],[Tax_Value]]</f>
        <v>3805.32</v>
      </c>
      <c r="O544" s="10">
        <f>SALCE[[#This Row],[Gross_Sales]]*70%</f>
        <v>2800</v>
      </c>
      <c r="P544" s="10">
        <f>SALCE[[#This Row],[Net_Sales]]-SALCE[[#This Row],[Cost_Price]]</f>
        <v>1005.3200000000002</v>
      </c>
      <c r="Q544" s="10">
        <f>SALCE[[#This Row],[Gross_Sales]]-SALCE[[#This Row],[Discount_Value]]</f>
        <v>3800</v>
      </c>
      <c r="R544" s="15" t="s">
        <v>52</v>
      </c>
      <c r="S544" s="15" t="s">
        <v>21</v>
      </c>
      <c r="T544" s="15" t="s">
        <v>27</v>
      </c>
    </row>
    <row r="545" spans="1:20" s="12" customFormat="1" ht="30" customHeight="1" thickTop="1" thickBot="1" x14ac:dyDescent="0.4">
      <c r="A545" s="7">
        <v>1544</v>
      </c>
      <c r="B545" s="8">
        <v>45836</v>
      </c>
      <c r="C545" s="14" t="s">
        <v>39</v>
      </c>
      <c r="D545" s="14" t="s">
        <v>36</v>
      </c>
      <c r="E545" s="14" t="s">
        <v>19</v>
      </c>
      <c r="F545" s="14" t="s">
        <v>20</v>
      </c>
      <c r="G545" s="7">
        <v>4</v>
      </c>
      <c r="H545" s="7">
        <v>300</v>
      </c>
      <c r="I545" s="9">
        <v>15</v>
      </c>
      <c r="J545" s="10">
        <f>SALCE[[#This Row],[After_Discount]]*SALCE[[#This Row],[Tax_%]]/100</f>
        <v>1.4280000000000002</v>
      </c>
      <c r="K545" s="11">
        <v>0.14000000000000001</v>
      </c>
      <c r="L545" s="10">
        <f>SALCE[[#This Row],[Quantity]]*SALCE[[#This Row],[Unit_Price]]</f>
        <v>1200</v>
      </c>
      <c r="M545" s="10">
        <f>SALCE[[#This Row],[Gross_Sales]]*SALCE[[#This Row],[Discount_%]]/100</f>
        <v>180</v>
      </c>
      <c r="N545" s="10">
        <f>SALCE[[#This Row],[After_Discount]]+SALCE[[#This Row],[Tax_Value]]</f>
        <v>1021.428</v>
      </c>
      <c r="O545" s="10">
        <f>SALCE[[#This Row],[Gross_Sales]]*70%</f>
        <v>840</v>
      </c>
      <c r="P545" s="10">
        <f>SALCE[[#This Row],[Net_Sales]]-SALCE[[#This Row],[Cost_Price]]</f>
        <v>181.428</v>
      </c>
      <c r="Q545" s="10">
        <f>SALCE[[#This Row],[Gross_Sales]]-SALCE[[#This Row],[Discount_Value]]</f>
        <v>1020</v>
      </c>
      <c r="R545" s="15" t="s">
        <v>54</v>
      </c>
      <c r="S545" s="15" t="s">
        <v>26</v>
      </c>
      <c r="T545" s="15" t="s">
        <v>27</v>
      </c>
    </row>
    <row r="546" spans="1:20" s="12" customFormat="1" ht="30" customHeight="1" thickTop="1" thickBot="1" x14ac:dyDescent="0.4">
      <c r="A546" s="7">
        <v>1545</v>
      </c>
      <c r="B546" s="8">
        <v>45837</v>
      </c>
      <c r="C546" s="14" t="s">
        <v>23</v>
      </c>
      <c r="D546" s="14" t="s">
        <v>38</v>
      </c>
      <c r="E546" s="14" t="s">
        <v>34</v>
      </c>
      <c r="F546" s="14" t="s">
        <v>32</v>
      </c>
      <c r="G546" s="7">
        <v>8</v>
      </c>
      <c r="H546" s="7">
        <v>4000</v>
      </c>
      <c r="I546" s="9">
        <v>5</v>
      </c>
      <c r="J546" s="10">
        <f>SALCE[[#This Row],[After_Discount]]*SALCE[[#This Row],[Tax_%]]/100</f>
        <v>42.56</v>
      </c>
      <c r="K546" s="11">
        <v>0.14000000000000001</v>
      </c>
      <c r="L546" s="10">
        <f>SALCE[[#This Row],[Quantity]]*SALCE[[#This Row],[Unit_Price]]</f>
        <v>32000</v>
      </c>
      <c r="M546" s="10">
        <f>SALCE[[#This Row],[Gross_Sales]]*SALCE[[#This Row],[Discount_%]]/100</f>
        <v>1600</v>
      </c>
      <c r="N546" s="10">
        <f>SALCE[[#This Row],[After_Discount]]+SALCE[[#This Row],[Tax_Value]]</f>
        <v>30442.560000000001</v>
      </c>
      <c r="O546" s="10">
        <f>SALCE[[#This Row],[Gross_Sales]]*70%</f>
        <v>22400</v>
      </c>
      <c r="P546" s="10">
        <f>SALCE[[#This Row],[Net_Sales]]-SALCE[[#This Row],[Cost_Price]]</f>
        <v>8042.5600000000013</v>
      </c>
      <c r="Q546" s="10">
        <f>SALCE[[#This Row],[Gross_Sales]]-SALCE[[#This Row],[Discount_Value]]</f>
        <v>30400</v>
      </c>
      <c r="R546" s="15" t="s">
        <v>58</v>
      </c>
      <c r="S546" s="15" t="s">
        <v>21</v>
      </c>
      <c r="T546" s="15" t="s">
        <v>22</v>
      </c>
    </row>
    <row r="547" spans="1:20" s="12" customFormat="1" ht="30" customHeight="1" thickTop="1" thickBot="1" x14ac:dyDescent="0.4">
      <c r="A547" s="7">
        <v>1546</v>
      </c>
      <c r="B547" s="8">
        <v>45838</v>
      </c>
      <c r="C547" s="14" t="s">
        <v>23</v>
      </c>
      <c r="D547" s="14" t="s">
        <v>24</v>
      </c>
      <c r="E547" s="14" t="s">
        <v>19</v>
      </c>
      <c r="F547" s="14" t="s">
        <v>20</v>
      </c>
      <c r="G547" s="7">
        <v>3</v>
      </c>
      <c r="H547" s="7">
        <v>300</v>
      </c>
      <c r="I547" s="9">
        <v>0</v>
      </c>
      <c r="J547" s="10">
        <f>SALCE[[#This Row],[After_Discount]]*SALCE[[#This Row],[Tax_%]]/100</f>
        <v>1.2600000000000002</v>
      </c>
      <c r="K547" s="11">
        <v>0.14000000000000001</v>
      </c>
      <c r="L547" s="10">
        <f>SALCE[[#This Row],[Quantity]]*SALCE[[#This Row],[Unit_Price]]</f>
        <v>900</v>
      </c>
      <c r="M547" s="10">
        <f>SALCE[[#This Row],[Gross_Sales]]*SALCE[[#This Row],[Discount_%]]/100</f>
        <v>0</v>
      </c>
      <c r="N547" s="10">
        <f>SALCE[[#This Row],[After_Discount]]+SALCE[[#This Row],[Tax_Value]]</f>
        <v>901.26</v>
      </c>
      <c r="O547" s="10">
        <f>SALCE[[#This Row],[Gross_Sales]]*70%</f>
        <v>630</v>
      </c>
      <c r="P547" s="10">
        <f>SALCE[[#This Row],[Net_Sales]]-SALCE[[#This Row],[Cost_Price]]</f>
        <v>271.26</v>
      </c>
      <c r="Q547" s="10">
        <f>SALCE[[#This Row],[Gross_Sales]]-SALCE[[#This Row],[Discount_Value]]</f>
        <v>900</v>
      </c>
      <c r="R547" s="15" t="s">
        <v>62</v>
      </c>
      <c r="S547" s="15" t="s">
        <v>21</v>
      </c>
      <c r="T547" s="15" t="s">
        <v>22</v>
      </c>
    </row>
    <row r="548" spans="1:20" s="12" customFormat="1" ht="30" customHeight="1" thickTop="1" thickBot="1" x14ac:dyDescent="0.4">
      <c r="A548" s="7">
        <v>1547</v>
      </c>
      <c r="B548" s="8">
        <v>45839</v>
      </c>
      <c r="C548" s="14" t="s">
        <v>39</v>
      </c>
      <c r="D548" s="14" t="s">
        <v>41</v>
      </c>
      <c r="E548" s="14" t="s">
        <v>25</v>
      </c>
      <c r="F548" s="14" t="s">
        <v>20</v>
      </c>
      <c r="G548" s="7">
        <v>3</v>
      </c>
      <c r="H548" s="7">
        <v>500</v>
      </c>
      <c r="I548" s="9">
        <v>15</v>
      </c>
      <c r="J548" s="10">
        <f>SALCE[[#This Row],[After_Discount]]*SALCE[[#This Row],[Tax_%]]/100</f>
        <v>1.7850000000000004</v>
      </c>
      <c r="K548" s="11">
        <v>0.14000000000000001</v>
      </c>
      <c r="L548" s="10">
        <f>SALCE[[#This Row],[Quantity]]*SALCE[[#This Row],[Unit_Price]]</f>
        <v>1500</v>
      </c>
      <c r="M548" s="10">
        <f>SALCE[[#This Row],[Gross_Sales]]*SALCE[[#This Row],[Discount_%]]/100</f>
        <v>225</v>
      </c>
      <c r="N548" s="10">
        <f>SALCE[[#This Row],[After_Discount]]+SALCE[[#This Row],[Tax_Value]]</f>
        <v>1276.7850000000001</v>
      </c>
      <c r="O548" s="10">
        <f>SALCE[[#This Row],[Gross_Sales]]*70%</f>
        <v>1050</v>
      </c>
      <c r="P548" s="10">
        <f>SALCE[[#This Row],[Net_Sales]]-SALCE[[#This Row],[Cost_Price]]</f>
        <v>226.78500000000008</v>
      </c>
      <c r="Q548" s="10">
        <f>SALCE[[#This Row],[Gross_Sales]]-SALCE[[#This Row],[Discount_Value]]</f>
        <v>1275</v>
      </c>
      <c r="R548" s="15" t="s">
        <v>59</v>
      </c>
      <c r="S548" s="15" t="s">
        <v>21</v>
      </c>
      <c r="T548" s="15" t="s">
        <v>22</v>
      </c>
    </row>
    <row r="549" spans="1:20" s="12" customFormat="1" ht="30" customHeight="1" thickTop="1" thickBot="1" x14ac:dyDescent="0.4">
      <c r="A549" s="7">
        <v>1548</v>
      </c>
      <c r="B549" s="8">
        <v>45840</v>
      </c>
      <c r="C549" s="14" t="s">
        <v>39</v>
      </c>
      <c r="D549" s="14" t="s">
        <v>41</v>
      </c>
      <c r="E549" s="14" t="s">
        <v>19</v>
      </c>
      <c r="F549" s="14" t="s">
        <v>20</v>
      </c>
      <c r="G549" s="7">
        <v>2</v>
      </c>
      <c r="H549" s="7">
        <v>300</v>
      </c>
      <c r="I549" s="9">
        <v>10</v>
      </c>
      <c r="J549" s="10">
        <f>SALCE[[#This Row],[After_Discount]]*SALCE[[#This Row],[Tax_%]]/100</f>
        <v>0.75600000000000012</v>
      </c>
      <c r="K549" s="11">
        <v>0.14000000000000001</v>
      </c>
      <c r="L549" s="10">
        <f>SALCE[[#This Row],[Quantity]]*SALCE[[#This Row],[Unit_Price]]</f>
        <v>600</v>
      </c>
      <c r="M549" s="10">
        <f>SALCE[[#This Row],[Gross_Sales]]*SALCE[[#This Row],[Discount_%]]/100</f>
        <v>60</v>
      </c>
      <c r="N549" s="10">
        <f>SALCE[[#This Row],[After_Discount]]+SALCE[[#This Row],[Tax_Value]]</f>
        <v>540.75599999999997</v>
      </c>
      <c r="O549" s="10">
        <f>SALCE[[#This Row],[Gross_Sales]]*70%</f>
        <v>420</v>
      </c>
      <c r="P549" s="10">
        <f>SALCE[[#This Row],[Net_Sales]]-SALCE[[#This Row],[Cost_Price]]</f>
        <v>120.75599999999997</v>
      </c>
      <c r="Q549" s="10">
        <f>SALCE[[#This Row],[Gross_Sales]]-SALCE[[#This Row],[Discount_Value]]</f>
        <v>540</v>
      </c>
      <c r="R549" s="15" t="s">
        <v>59</v>
      </c>
      <c r="S549" s="15" t="s">
        <v>21</v>
      </c>
      <c r="T549" s="15" t="s">
        <v>27</v>
      </c>
    </row>
    <row r="550" spans="1:20" s="12" customFormat="1" ht="30" customHeight="1" thickTop="1" thickBot="1" x14ac:dyDescent="0.4">
      <c r="A550" s="7">
        <v>1549</v>
      </c>
      <c r="B550" s="8">
        <v>45841</v>
      </c>
      <c r="C550" s="14" t="s">
        <v>30</v>
      </c>
      <c r="D550" s="14" t="s">
        <v>29</v>
      </c>
      <c r="E550" s="14" t="s">
        <v>25</v>
      </c>
      <c r="F550" s="14" t="s">
        <v>20</v>
      </c>
      <c r="G550" s="7">
        <v>4</v>
      </c>
      <c r="H550" s="7">
        <v>500</v>
      </c>
      <c r="I550" s="9">
        <v>5</v>
      </c>
      <c r="J550" s="10">
        <f>SALCE[[#This Row],[After_Discount]]*SALCE[[#This Row],[Tax_%]]/100</f>
        <v>2.66</v>
      </c>
      <c r="K550" s="11">
        <v>0.14000000000000001</v>
      </c>
      <c r="L550" s="10">
        <f>SALCE[[#This Row],[Quantity]]*SALCE[[#This Row],[Unit_Price]]</f>
        <v>2000</v>
      </c>
      <c r="M550" s="10">
        <f>SALCE[[#This Row],[Gross_Sales]]*SALCE[[#This Row],[Discount_%]]/100</f>
        <v>100</v>
      </c>
      <c r="N550" s="10">
        <f>SALCE[[#This Row],[After_Discount]]+SALCE[[#This Row],[Tax_Value]]</f>
        <v>1902.66</v>
      </c>
      <c r="O550" s="10">
        <f>SALCE[[#This Row],[Gross_Sales]]*70%</f>
        <v>1400</v>
      </c>
      <c r="P550" s="10">
        <f>SALCE[[#This Row],[Net_Sales]]-SALCE[[#This Row],[Cost_Price]]</f>
        <v>502.66000000000008</v>
      </c>
      <c r="Q550" s="10">
        <f>SALCE[[#This Row],[Gross_Sales]]-SALCE[[#This Row],[Discount_Value]]</f>
        <v>1900</v>
      </c>
      <c r="R550" s="15" t="s">
        <v>47</v>
      </c>
      <c r="S550" s="15" t="s">
        <v>37</v>
      </c>
      <c r="T550" s="15" t="s">
        <v>22</v>
      </c>
    </row>
    <row r="551" spans="1:20" s="12" customFormat="1" ht="30" customHeight="1" thickTop="1" thickBot="1" x14ac:dyDescent="0.4">
      <c r="A551" s="7">
        <v>1550</v>
      </c>
      <c r="B551" s="8">
        <v>45842</v>
      </c>
      <c r="C551" s="14" t="s">
        <v>28</v>
      </c>
      <c r="D551" s="14" t="s">
        <v>24</v>
      </c>
      <c r="E551" s="14" t="s">
        <v>40</v>
      </c>
      <c r="F551" s="14" t="s">
        <v>20</v>
      </c>
      <c r="G551" s="7">
        <v>5</v>
      </c>
      <c r="H551" s="7">
        <v>800</v>
      </c>
      <c r="I551" s="9">
        <v>10</v>
      </c>
      <c r="J551" s="10">
        <f>SALCE[[#This Row],[After_Discount]]*SALCE[[#This Row],[Tax_%]]/100</f>
        <v>5.0400000000000009</v>
      </c>
      <c r="K551" s="11">
        <v>0.14000000000000001</v>
      </c>
      <c r="L551" s="10">
        <f>SALCE[[#This Row],[Quantity]]*SALCE[[#This Row],[Unit_Price]]</f>
        <v>4000</v>
      </c>
      <c r="M551" s="10">
        <f>SALCE[[#This Row],[Gross_Sales]]*SALCE[[#This Row],[Discount_%]]/100</f>
        <v>400</v>
      </c>
      <c r="N551" s="10">
        <f>SALCE[[#This Row],[After_Discount]]+SALCE[[#This Row],[Tax_Value]]</f>
        <v>3605.04</v>
      </c>
      <c r="O551" s="10">
        <f>SALCE[[#This Row],[Gross_Sales]]*70%</f>
        <v>2800</v>
      </c>
      <c r="P551" s="10">
        <f>SALCE[[#This Row],[Net_Sales]]-SALCE[[#This Row],[Cost_Price]]</f>
        <v>805.04</v>
      </c>
      <c r="Q551" s="10">
        <f>SALCE[[#This Row],[Gross_Sales]]-SALCE[[#This Row],[Discount_Value]]</f>
        <v>3600</v>
      </c>
      <c r="R551" s="15" t="s">
        <v>58</v>
      </c>
      <c r="S551" s="15" t="s">
        <v>37</v>
      </c>
      <c r="T551" s="15" t="s">
        <v>22</v>
      </c>
    </row>
    <row r="552" spans="1:20" s="12" customFormat="1" ht="30" customHeight="1" thickTop="1" thickBot="1" x14ac:dyDescent="0.4">
      <c r="A552" s="7">
        <v>1551</v>
      </c>
      <c r="B552" s="8">
        <v>45843</v>
      </c>
      <c r="C552" s="14" t="s">
        <v>39</v>
      </c>
      <c r="D552" s="14" t="s">
        <v>38</v>
      </c>
      <c r="E552" s="14" t="s">
        <v>31</v>
      </c>
      <c r="F552" s="14" t="s">
        <v>32</v>
      </c>
      <c r="G552" s="7">
        <v>3</v>
      </c>
      <c r="H552" s="7">
        <v>15000</v>
      </c>
      <c r="I552" s="9">
        <v>15</v>
      </c>
      <c r="J552" s="10">
        <f>SALCE[[#This Row],[After_Discount]]*SALCE[[#This Row],[Tax_%]]/100</f>
        <v>53.550000000000011</v>
      </c>
      <c r="K552" s="11">
        <v>0.14000000000000001</v>
      </c>
      <c r="L552" s="10">
        <f>SALCE[[#This Row],[Quantity]]*SALCE[[#This Row],[Unit_Price]]</f>
        <v>45000</v>
      </c>
      <c r="M552" s="10">
        <f>SALCE[[#This Row],[Gross_Sales]]*SALCE[[#This Row],[Discount_%]]/100</f>
        <v>6750</v>
      </c>
      <c r="N552" s="10">
        <f>SALCE[[#This Row],[After_Discount]]+SALCE[[#This Row],[Tax_Value]]</f>
        <v>38303.550000000003</v>
      </c>
      <c r="O552" s="10">
        <f>SALCE[[#This Row],[Gross_Sales]]*70%</f>
        <v>31499.999999999996</v>
      </c>
      <c r="P552" s="10">
        <f>SALCE[[#This Row],[Net_Sales]]-SALCE[[#This Row],[Cost_Price]]</f>
        <v>6803.5500000000065</v>
      </c>
      <c r="Q552" s="10">
        <f>SALCE[[#This Row],[Gross_Sales]]-SALCE[[#This Row],[Discount_Value]]</f>
        <v>38250</v>
      </c>
      <c r="R552" s="15" t="s">
        <v>56</v>
      </c>
      <c r="S552" s="15" t="s">
        <v>26</v>
      </c>
      <c r="T552" s="15" t="s">
        <v>22</v>
      </c>
    </row>
    <row r="553" spans="1:20" s="12" customFormat="1" ht="30" customHeight="1" thickTop="1" thickBot="1" x14ac:dyDescent="0.4">
      <c r="A553" s="7">
        <v>1552</v>
      </c>
      <c r="B553" s="8">
        <v>45844</v>
      </c>
      <c r="C553" s="14" t="s">
        <v>23</v>
      </c>
      <c r="D553" s="14" t="s">
        <v>41</v>
      </c>
      <c r="E553" s="14" t="s">
        <v>33</v>
      </c>
      <c r="F553" s="14" t="s">
        <v>32</v>
      </c>
      <c r="G553" s="7">
        <v>9</v>
      </c>
      <c r="H553" s="7">
        <v>6000</v>
      </c>
      <c r="I553" s="9">
        <v>5</v>
      </c>
      <c r="J553" s="10">
        <f>SALCE[[#This Row],[After_Discount]]*SALCE[[#This Row],[Tax_%]]/100</f>
        <v>71.820000000000007</v>
      </c>
      <c r="K553" s="11">
        <v>0.14000000000000001</v>
      </c>
      <c r="L553" s="10">
        <f>SALCE[[#This Row],[Quantity]]*SALCE[[#This Row],[Unit_Price]]</f>
        <v>54000</v>
      </c>
      <c r="M553" s="10">
        <f>SALCE[[#This Row],[Gross_Sales]]*SALCE[[#This Row],[Discount_%]]/100</f>
        <v>2700</v>
      </c>
      <c r="N553" s="10">
        <f>SALCE[[#This Row],[After_Discount]]+SALCE[[#This Row],[Tax_Value]]</f>
        <v>51371.82</v>
      </c>
      <c r="O553" s="10">
        <f>SALCE[[#This Row],[Gross_Sales]]*70%</f>
        <v>37800</v>
      </c>
      <c r="P553" s="10">
        <f>SALCE[[#This Row],[Net_Sales]]-SALCE[[#This Row],[Cost_Price]]</f>
        <v>13571.82</v>
      </c>
      <c r="Q553" s="10">
        <f>SALCE[[#This Row],[Gross_Sales]]-SALCE[[#This Row],[Discount_Value]]</f>
        <v>51300</v>
      </c>
      <c r="R553" s="15" t="s">
        <v>57</v>
      </c>
      <c r="S553" s="15" t="s">
        <v>21</v>
      </c>
      <c r="T553" s="15" t="s">
        <v>27</v>
      </c>
    </row>
    <row r="554" spans="1:20" s="12" customFormat="1" ht="30" customHeight="1" thickTop="1" thickBot="1" x14ac:dyDescent="0.4">
      <c r="A554" s="7">
        <v>1553</v>
      </c>
      <c r="B554" s="8">
        <v>45845</v>
      </c>
      <c r="C554" s="14" t="s">
        <v>35</v>
      </c>
      <c r="D554" s="14" t="s">
        <v>29</v>
      </c>
      <c r="E554" s="14" t="s">
        <v>31</v>
      </c>
      <c r="F554" s="14" t="s">
        <v>32</v>
      </c>
      <c r="G554" s="7">
        <v>7</v>
      </c>
      <c r="H554" s="7">
        <v>15000</v>
      </c>
      <c r="I554" s="9">
        <v>10</v>
      </c>
      <c r="J554" s="10">
        <f>SALCE[[#This Row],[After_Discount]]*SALCE[[#This Row],[Tax_%]]/100</f>
        <v>132.30000000000001</v>
      </c>
      <c r="K554" s="11">
        <v>0.14000000000000001</v>
      </c>
      <c r="L554" s="10">
        <f>SALCE[[#This Row],[Quantity]]*SALCE[[#This Row],[Unit_Price]]</f>
        <v>105000</v>
      </c>
      <c r="M554" s="10">
        <f>SALCE[[#This Row],[Gross_Sales]]*SALCE[[#This Row],[Discount_%]]/100</f>
        <v>10500</v>
      </c>
      <c r="N554" s="10">
        <f>SALCE[[#This Row],[After_Discount]]+SALCE[[#This Row],[Tax_Value]]</f>
        <v>94632.3</v>
      </c>
      <c r="O554" s="10">
        <f>SALCE[[#This Row],[Gross_Sales]]*70%</f>
        <v>73500</v>
      </c>
      <c r="P554" s="10">
        <f>SALCE[[#This Row],[Net_Sales]]-SALCE[[#This Row],[Cost_Price]]</f>
        <v>21132.300000000003</v>
      </c>
      <c r="Q554" s="10">
        <f>SALCE[[#This Row],[Gross_Sales]]-SALCE[[#This Row],[Discount_Value]]</f>
        <v>94500</v>
      </c>
      <c r="R554" s="15" t="s">
        <v>61</v>
      </c>
      <c r="S554" s="15" t="s">
        <v>21</v>
      </c>
      <c r="T554" s="15" t="s">
        <v>27</v>
      </c>
    </row>
    <row r="555" spans="1:20" s="12" customFormat="1" ht="30" customHeight="1" thickTop="1" thickBot="1" x14ac:dyDescent="0.4">
      <c r="A555" s="7">
        <v>1554</v>
      </c>
      <c r="B555" s="8">
        <v>45846</v>
      </c>
      <c r="C555" s="14" t="s">
        <v>30</v>
      </c>
      <c r="D555" s="14" t="s">
        <v>41</v>
      </c>
      <c r="E555" s="14" t="s">
        <v>33</v>
      </c>
      <c r="F555" s="14" t="s">
        <v>32</v>
      </c>
      <c r="G555" s="7">
        <v>4</v>
      </c>
      <c r="H555" s="7">
        <v>6000</v>
      </c>
      <c r="I555" s="9">
        <v>15</v>
      </c>
      <c r="J555" s="10">
        <f>SALCE[[#This Row],[After_Discount]]*SALCE[[#This Row],[Tax_%]]/100</f>
        <v>28.560000000000006</v>
      </c>
      <c r="K555" s="11">
        <v>0.14000000000000001</v>
      </c>
      <c r="L555" s="10">
        <f>SALCE[[#This Row],[Quantity]]*SALCE[[#This Row],[Unit_Price]]</f>
        <v>24000</v>
      </c>
      <c r="M555" s="10">
        <f>SALCE[[#This Row],[Gross_Sales]]*SALCE[[#This Row],[Discount_%]]/100</f>
        <v>3600</v>
      </c>
      <c r="N555" s="10">
        <f>SALCE[[#This Row],[After_Discount]]+SALCE[[#This Row],[Tax_Value]]</f>
        <v>20428.560000000001</v>
      </c>
      <c r="O555" s="10">
        <f>SALCE[[#This Row],[Gross_Sales]]*70%</f>
        <v>16800</v>
      </c>
      <c r="P555" s="10">
        <f>SALCE[[#This Row],[Net_Sales]]-SALCE[[#This Row],[Cost_Price]]</f>
        <v>3628.5600000000013</v>
      </c>
      <c r="Q555" s="10">
        <f>SALCE[[#This Row],[Gross_Sales]]-SALCE[[#This Row],[Discount_Value]]</f>
        <v>20400</v>
      </c>
      <c r="R555" s="15" t="s">
        <v>47</v>
      </c>
      <c r="S555" s="15" t="s">
        <v>21</v>
      </c>
      <c r="T555" s="15" t="s">
        <v>22</v>
      </c>
    </row>
    <row r="556" spans="1:20" s="12" customFormat="1" ht="30" customHeight="1" thickTop="1" thickBot="1" x14ac:dyDescent="0.4">
      <c r="A556" s="7">
        <v>1555</v>
      </c>
      <c r="B556" s="8">
        <v>45847</v>
      </c>
      <c r="C556" s="14" t="s">
        <v>30</v>
      </c>
      <c r="D556" s="14" t="s">
        <v>38</v>
      </c>
      <c r="E556" s="14" t="s">
        <v>40</v>
      </c>
      <c r="F556" s="14" t="s">
        <v>20</v>
      </c>
      <c r="G556" s="7">
        <v>2</v>
      </c>
      <c r="H556" s="7">
        <v>800</v>
      </c>
      <c r="I556" s="9">
        <v>0</v>
      </c>
      <c r="J556" s="10">
        <f>SALCE[[#This Row],[After_Discount]]*SALCE[[#This Row],[Tax_%]]/100</f>
        <v>2.2400000000000002</v>
      </c>
      <c r="K556" s="11">
        <v>0.14000000000000001</v>
      </c>
      <c r="L556" s="10">
        <f>SALCE[[#This Row],[Quantity]]*SALCE[[#This Row],[Unit_Price]]</f>
        <v>1600</v>
      </c>
      <c r="M556" s="10">
        <f>SALCE[[#This Row],[Gross_Sales]]*SALCE[[#This Row],[Discount_%]]/100</f>
        <v>0</v>
      </c>
      <c r="N556" s="10">
        <f>SALCE[[#This Row],[After_Discount]]+SALCE[[#This Row],[Tax_Value]]</f>
        <v>1602.24</v>
      </c>
      <c r="O556" s="10">
        <f>SALCE[[#This Row],[Gross_Sales]]*70%</f>
        <v>1120</v>
      </c>
      <c r="P556" s="10">
        <f>SALCE[[#This Row],[Net_Sales]]-SALCE[[#This Row],[Cost_Price]]</f>
        <v>482.24</v>
      </c>
      <c r="Q556" s="10">
        <f>SALCE[[#This Row],[Gross_Sales]]-SALCE[[#This Row],[Discount_Value]]</f>
        <v>1600</v>
      </c>
      <c r="R556" s="15" t="s">
        <v>58</v>
      </c>
      <c r="S556" s="15" t="s">
        <v>37</v>
      </c>
      <c r="T556" s="15" t="s">
        <v>27</v>
      </c>
    </row>
    <row r="557" spans="1:20" s="12" customFormat="1" ht="30" customHeight="1" thickTop="1" thickBot="1" x14ac:dyDescent="0.4">
      <c r="A557" s="7">
        <v>1556</v>
      </c>
      <c r="B557" s="8">
        <v>45848</v>
      </c>
      <c r="C557" s="14" t="s">
        <v>28</v>
      </c>
      <c r="D557" s="14" t="s">
        <v>36</v>
      </c>
      <c r="E557" s="14" t="s">
        <v>34</v>
      </c>
      <c r="F557" s="14" t="s">
        <v>32</v>
      </c>
      <c r="G557" s="7">
        <v>8</v>
      </c>
      <c r="H557" s="7">
        <v>4000</v>
      </c>
      <c r="I557" s="9">
        <v>5</v>
      </c>
      <c r="J557" s="10">
        <f>SALCE[[#This Row],[After_Discount]]*SALCE[[#This Row],[Tax_%]]/100</f>
        <v>42.56</v>
      </c>
      <c r="K557" s="11">
        <v>0.14000000000000001</v>
      </c>
      <c r="L557" s="10">
        <f>SALCE[[#This Row],[Quantity]]*SALCE[[#This Row],[Unit_Price]]</f>
        <v>32000</v>
      </c>
      <c r="M557" s="10">
        <f>SALCE[[#This Row],[Gross_Sales]]*SALCE[[#This Row],[Discount_%]]/100</f>
        <v>1600</v>
      </c>
      <c r="N557" s="10">
        <f>SALCE[[#This Row],[After_Discount]]+SALCE[[#This Row],[Tax_Value]]</f>
        <v>30442.560000000001</v>
      </c>
      <c r="O557" s="10">
        <f>SALCE[[#This Row],[Gross_Sales]]*70%</f>
        <v>22400</v>
      </c>
      <c r="P557" s="10">
        <f>SALCE[[#This Row],[Net_Sales]]-SALCE[[#This Row],[Cost_Price]]</f>
        <v>8042.5600000000013</v>
      </c>
      <c r="Q557" s="10">
        <f>SALCE[[#This Row],[Gross_Sales]]-SALCE[[#This Row],[Discount_Value]]</f>
        <v>30400</v>
      </c>
      <c r="R557" s="15" t="s">
        <v>54</v>
      </c>
      <c r="S557" s="15" t="s">
        <v>26</v>
      </c>
      <c r="T557" s="15" t="s">
        <v>22</v>
      </c>
    </row>
    <row r="558" spans="1:20" s="12" customFormat="1" ht="30" customHeight="1" thickTop="1" thickBot="1" x14ac:dyDescent="0.4">
      <c r="A558" s="7">
        <v>1557</v>
      </c>
      <c r="B558" s="8">
        <v>45849</v>
      </c>
      <c r="C558" s="14" t="s">
        <v>35</v>
      </c>
      <c r="D558" s="14" t="s">
        <v>29</v>
      </c>
      <c r="E558" s="14" t="s">
        <v>33</v>
      </c>
      <c r="F558" s="14" t="s">
        <v>32</v>
      </c>
      <c r="G558" s="7">
        <v>2</v>
      </c>
      <c r="H558" s="7">
        <v>6000</v>
      </c>
      <c r="I558" s="9">
        <v>5</v>
      </c>
      <c r="J558" s="10">
        <f>SALCE[[#This Row],[After_Discount]]*SALCE[[#This Row],[Tax_%]]/100</f>
        <v>15.960000000000003</v>
      </c>
      <c r="K558" s="11">
        <v>0.14000000000000001</v>
      </c>
      <c r="L558" s="10">
        <f>SALCE[[#This Row],[Quantity]]*SALCE[[#This Row],[Unit_Price]]</f>
        <v>12000</v>
      </c>
      <c r="M558" s="10">
        <f>SALCE[[#This Row],[Gross_Sales]]*SALCE[[#This Row],[Discount_%]]/100</f>
        <v>600</v>
      </c>
      <c r="N558" s="10">
        <f>SALCE[[#This Row],[After_Discount]]+SALCE[[#This Row],[Tax_Value]]</f>
        <v>11415.96</v>
      </c>
      <c r="O558" s="10">
        <f>SALCE[[#This Row],[Gross_Sales]]*70%</f>
        <v>8400</v>
      </c>
      <c r="P558" s="10">
        <f>SALCE[[#This Row],[Net_Sales]]-SALCE[[#This Row],[Cost_Price]]</f>
        <v>3015.9599999999991</v>
      </c>
      <c r="Q558" s="10">
        <f>SALCE[[#This Row],[Gross_Sales]]-SALCE[[#This Row],[Discount_Value]]</f>
        <v>11400</v>
      </c>
      <c r="R558" s="15" t="s">
        <v>50</v>
      </c>
      <c r="S558" s="15" t="s">
        <v>21</v>
      </c>
      <c r="T558" s="15" t="s">
        <v>27</v>
      </c>
    </row>
    <row r="559" spans="1:20" s="12" customFormat="1" ht="30" customHeight="1" thickTop="1" thickBot="1" x14ac:dyDescent="0.4">
      <c r="A559" s="7">
        <v>1558</v>
      </c>
      <c r="B559" s="8">
        <v>45850</v>
      </c>
      <c r="C559" s="14" t="s">
        <v>35</v>
      </c>
      <c r="D559" s="14" t="s">
        <v>18</v>
      </c>
      <c r="E559" s="14" t="s">
        <v>19</v>
      </c>
      <c r="F559" s="14" t="s">
        <v>20</v>
      </c>
      <c r="G559" s="7">
        <v>5</v>
      </c>
      <c r="H559" s="7">
        <v>300</v>
      </c>
      <c r="I559" s="9">
        <v>15</v>
      </c>
      <c r="J559" s="10">
        <f>SALCE[[#This Row],[After_Discount]]*SALCE[[#This Row],[Tax_%]]/100</f>
        <v>1.7850000000000004</v>
      </c>
      <c r="K559" s="11">
        <v>0.14000000000000001</v>
      </c>
      <c r="L559" s="10">
        <f>SALCE[[#This Row],[Quantity]]*SALCE[[#This Row],[Unit_Price]]</f>
        <v>1500</v>
      </c>
      <c r="M559" s="10">
        <f>SALCE[[#This Row],[Gross_Sales]]*SALCE[[#This Row],[Discount_%]]/100</f>
        <v>225</v>
      </c>
      <c r="N559" s="10">
        <f>SALCE[[#This Row],[After_Discount]]+SALCE[[#This Row],[Tax_Value]]</f>
        <v>1276.7850000000001</v>
      </c>
      <c r="O559" s="10">
        <f>SALCE[[#This Row],[Gross_Sales]]*70%</f>
        <v>1050</v>
      </c>
      <c r="P559" s="10">
        <f>SALCE[[#This Row],[Net_Sales]]-SALCE[[#This Row],[Cost_Price]]</f>
        <v>226.78500000000008</v>
      </c>
      <c r="Q559" s="10">
        <f>SALCE[[#This Row],[Gross_Sales]]-SALCE[[#This Row],[Discount_Value]]</f>
        <v>1275</v>
      </c>
      <c r="R559" s="15" t="s">
        <v>56</v>
      </c>
      <c r="S559" s="15" t="s">
        <v>26</v>
      </c>
      <c r="T559" s="15" t="s">
        <v>22</v>
      </c>
    </row>
    <row r="560" spans="1:20" s="12" customFormat="1" ht="30" customHeight="1" thickTop="1" thickBot="1" x14ac:dyDescent="0.4">
      <c r="A560" s="7">
        <v>1559</v>
      </c>
      <c r="B560" s="8">
        <v>45851</v>
      </c>
      <c r="C560" s="14" t="s">
        <v>23</v>
      </c>
      <c r="D560" s="14" t="s">
        <v>36</v>
      </c>
      <c r="E560" s="14" t="s">
        <v>40</v>
      </c>
      <c r="F560" s="14" t="s">
        <v>20</v>
      </c>
      <c r="G560" s="7">
        <v>5</v>
      </c>
      <c r="H560" s="7">
        <v>800</v>
      </c>
      <c r="I560" s="9">
        <v>15</v>
      </c>
      <c r="J560" s="10">
        <f>SALCE[[#This Row],[After_Discount]]*SALCE[[#This Row],[Tax_%]]/100</f>
        <v>4.7600000000000007</v>
      </c>
      <c r="K560" s="11">
        <v>0.14000000000000001</v>
      </c>
      <c r="L560" s="10">
        <f>SALCE[[#This Row],[Quantity]]*SALCE[[#This Row],[Unit_Price]]</f>
        <v>4000</v>
      </c>
      <c r="M560" s="10">
        <f>SALCE[[#This Row],[Gross_Sales]]*SALCE[[#This Row],[Discount_%]]/100</f>
        <v>600</v>
      </c>
      <c r="N560" s="10">
        <f>SALCE[[#This Row],[After_Discount]]+SALCE[[#This Row],[Tax_Value]]</f>
        <v>3404.76</v>
      </c>
      <c r="O560" s="10">
        <f>SALCE[[#This Row],[Gross_Sales]]*70%</f>
        <v>2800</v>
      </c>
      <c r="P560" s="10">
        <f>SALCE[[#This Row],[Net_Sales]]-SALCE[[#This Row],[Cost_Price]]</f>
        <v>604.76000000000022</v>
      </c>
      <c r="Q560" s="10">
        <f>SALCE[[#This Row],[Gross_Sales]]-SALCE[[#This Row],[Discount_Value]]</f>
        <v>3400</v>
      </c>
      <c r="R560" s="15" t="s">
        <v>57</v>
      </c>
      <c r="S560" s="15" t="s">
        <v>26</v>
      </c>
      <c r="T560" s="15" t="s">
        <v>22</v>
      </c>
    </row>
    <row r="561" spans="1:20" s="12" customFormat="1" ht="30" customHeight="1" thickTop="1" thickBot="1" x14ac:dyDescent="0.4">
      <c r="A561" s="7">
        <v>1560</v>
      </c>
      <c r="B561" s="8">
        <v>45852</v>
      </c>
      <c r="C561" s="14" t="s">
        <v>28</v>
      </c>
      <c r="D561" s="14" t="s">
        <v>29</v>
      </c>
      <c r="E561" s="14" t="s">
        <v>34</v>
      </c>
      <c r="F561" s="14" t="s">
        <v>32</v>
      </c>
      <c r="G561" s="7">
        <v>3</v>
      </c>
      <c r="H561" s="7">
        <v>4000</v>
      </c>
      <c r="I561" s="9">
        <v>0</v>
      </c>
      <c r="J561" s="10">
        <f>SALCE[[#This Row],[After_Discount]]*SALCE[[#This Row],[Tax_%]]/100</f>
        <v>16.8</v>
      </c>
      <c r="K561" s="11">
        <v>0.14000000000000001</v>
      </c>
      <c r="L561" s="10">
        <f>SALCE[[#This Row],[Quantity]]*SALCE[[#This Row],[Unit_Price]]</f>
        <v>12000</v>
      </c>
      <c r="M561" s="10">
        <f>SALCE[[#This Row],[Gross_Sales]]*SALCE[[#This Row],[Discount_%]]/100</f>
        <v>0</v>
      </c>
      <c r="N561" s="10">
        <f>SALCE[[#This Row],[After_Discount]]+SALCE[[#This Row],[Tax_Value]]</f>
        <v>12016.8</v>
      </c>
      <c r="O561" s="10">
        <f>SALCE[[#This Row],[Gross_Sales]]*70%</f>
        <v>8400</v>
      </c>
      <c r="P561" s="10">
        <f>SALCE[[#This Row],[Net_Sales]]-SALCE[[#This Row],[Cost_Price]]</f>
        <v>3616.7999999999993</v>
      </c>
      <c r="Q561" s="10">
        <f>SALCE[[#This Row],[Gross_Sales]]-SALCE[[#This Row],[Discount_Value]]</f>
        <v>12000</v>
      </c>
      <c r="R561" s="15" t="s">
        <v>56</v>
      </c>
      <c r="S561" s="15" t="s">
        <v>21</v>
      </c>
      <c r="T561" s="15" t="s">
        <v>22</v>
      </c>
    </row>
    <row r="562" spans="1:20" s="12" customFormat="1" ht="30" customHeight="1" thickTop="1" thickBot="1" x14ac:dyDescent="0.4">
      <c r="A562" s="7">
        <v>1561</v>
      </c>
      <c r="B562" s="8">
        <v>45853</v>
      </c>
      <c r="C562" s="14" t="s">
        <v>28</v>
      </c>
      <c r="D562" s="14" t="s">
        <v>41</v>
      </c>
      <c r="E562" s="14" t="s">
        <v>33</v>
      </c>
      <c r="F562" s="14" t="s">
        <v>32</v>
      </c>
      <c r="G562" s="7">
        <v>9</v>
      </c>
      <c r="H562" s="7">
        <v>6000</v>
      </c>
      <c r="I562" s="9">
        <v>10</v>
      </c>
      <c r="J562" s="10">
        <f>SALCE[[#This Row],[After_Discount]]*SALCE[[#This Row],[Tax_%]]/100</f>
        <v>68.040000000000006</v>
      </c>
      <c r="K562" s="11">
        <v>0.14000000000000001</v>
      </c>
      <c r="L562" s="10">
        <f>SALCE[[#This Row],[Quantity]]*SALCE[[#This Row],[Unit_Price]]</f>
        <v>54000</v>
      </c>
      <c r="M562" s="10">
        <f>SALCE[[#This Row],[Gross_Sales]]*SALCE[[#This Row],[Discount_%]]/100</f>
        <v>5400</v>
      </c>
      <c r="N562" s="10">
        <f>SALCE[[#This Row],[After_Discount]]+SALCE[[#This Row],[Tax_Value]]</f>
        <v>48668.04</v>
      </c>
      <c r="O562" s="10">
        <f>SALCE[[#This Row],[Gross_Sales]]*70%</f>
        <v>37800</v>
      </c>
      <c r="P562" s="10">
        <f>SALCE[[#This Row],[Net_Sales]]-SALCE[[#This Row],[Cost_Price]]</f>
        <v>10868.04</v>
      </c>
      <c r="Q562" s="10">
        <f>SALCE[[#This Row],[Gross_Sales]]-SALCE[[#This Row],[Discount_Value]]</f>
        <v>48600</v>
      </c>
      <c r="R562" s="15" t="s">
        <v>58</v>
      </c>
      <c r="S562" s="15" t="s">
        <v>21</v>
      </c>
      <c r="T562" s="15" t="s">
        <v>22</v>
      </c>
    </row>
    <row r="563" spans="1:20" s="12" customFormat="1" ht="30" customHeight="1" thickTop="1" thickBot="1" x14ac:dyDescent="0.4">
      <c r="A563" s="7">
        <v>1562</v>
      </c>
      <c r="B563" s="8">
        <v>45854</v>
      </c>
      <c r="C563" s="14" t="s">
        <v>23</v>
      </c>
      <c r="D563" s="14" t="s">
        <v>29</v>
      </c>
      <c r="E563" s="14" t="s">
        <v>40</v>
      </c>
      <c r="F563" s="14" t="s">
        <v>20</v>
      </c>
      <c r="G563" s="7">
        <v>6</v>
      </c>
      <c r="H563" s="7">
        <v>800</v>
      </c>
      <c r="I563" s="9">
        <v>5</v>
      </c>
      <c r="J563" s="10">
        <f>SALCE[[#This Row],[After_Discount]]*SALCE[[#This Row],[Tax_%]]/100</f>
        <v>6.3840000000000012</v>
      </c>
      <c r="K563" s="11">
        <v>0.14000000000000001</v>
      </c>
      <c r="L563" s="10">
        <f>SALCE[[#This Row],[Quantity]]*SALCE[[#This Row],[Unit_Price]]</f>
        <v>4800</v>
      </c>
      <c r="M563" s="10">
        <f>SALCE[[#This Row],[Gross_Sales]]*SALCE[[#This Row],[Discount_%]]/100</f>
        <v>240</v>
      </c>
      <c r="N563" s="10">
        <f>SALCE[[#This Row],[After_Discount]]+SALCE[[#This Row],[Tax_Value]]</f>
        <v>4566.384</v>
      </c>
      <c r="O563" s="10">
        <f>SALCE[[#This Row],[Gross_Sales]]*70%</f>
        <v>3360</v>
      </c>
      <c r="P563" s="10">
        <f>SALCE[[#This Row],[Net_Sales]]-SALCE[[#This Row],[Cost_Price]]</f>
        <v>1206.384</v>
      </c>
      <c r="Q563" s="10">
        <f>SALCE[[#This Row],[Gross_Sales]]-SALCE[[#This Row],[Discount_Value]]</f>
        <v>4560</v>
      </c>
      <c r="R563" s="15" t="s">
        <v>50</v>
      </c>
      <c r="S563" s="15" t="s">
        <v>37</v>
      </c>
      <c r="T563" s="15" t="s">
        <v>27</v>
      </c>
    </row>
    <row r="564" spans="1:20" s="12" customFormat="1" ht="30" customHeight="1" thickTop="1" thickBot="1" x14ac:dyDescent="0.4">
      <c r="A564" s="7">
        <v>1563</v>
      </c>
      <c r="B564" s="8">
        <v>45855</v>
      </c>
      <c r="C564" s="14" t="s">
        <v>39</v>
      </c>
      <c r="D564" s="14" t="s">
        <v>41</v>
      </c>
      <c r="E564" s="14" t="s">
        <v>40</v>
      </c>
      <c r="F564" s="14" t="s">
        <v>20</v>
      </c>
      <c r="G564" s="7">
        <v>1</v>
      </c>
      <c r="H564" s="7">
        <v>800</v>
      </c>
      <c r="I564" s="9">
        <v>5</v>
      </c>
      <c r="J564" s="10">
        <f>SALCE[[#This Row],[After_Discount]]*SALCE[[#This Row],[Tax_%]]/100</f>
        <v>1.0640000000000001</v>
      </c>
      <c r="K564" s="11">
        <v>0.14000000000000001</v>
      </c>
      <c r="L564" s="10">
        <f>SALCE[[#This Row],[Quantity]]*SALCE[[#This Row],[Unit_Price]]</f>
        <v>800</v>
      </c>
      <c r="M564" s="10">
        <f>SALCE[[#This Row],[Gross_Sales]]*SALCE[[#This Row],[Discount_%]]/100</f>
        <v>40</v>
      </c>
      <c r="N564" s="10">
        <f>SALCE[[#This Row],[After_Discount]]+SALCE[[#This Row],[Tax_Value]]</f>
        <v>761.06399999999996</v>
      </c>
      <c r="O564" s="10">
        <f>SALCE[[#This Row],[Gross_Sales]]*70%</f>
        <v>560</v>
      </c>
      <c r="P564" s="10">
        <f>SALCE[[#This Row],[Net_Sales]]-SALCE[[#This Row],[Cost_Price]]</f>
        <v>201.06399999999996</v>
      </c>
      <c r="Q564" s="10">
        <f>SALCE[[#This Row],[Gross_Sales]]-SALCE[[#This Row],[Discount_Value]]</f>
        <v>760</v>
      </c>
      <c r="R564" s="15" t="s">
        <v>51</v>
      </c>
      <c r="S564" s="15" t="s">
        <v>37</v>
      </c>
      <c r="T564" s="15" t="s">
        <v>22</v>
      </c>
    </row>
    <row r="565" spans="1:20" s="12" customFormat="1" ht="30" customHeight="1" thickTop="1" thickBot="1" x14ac:dyDescent="0.4">
      <c r="A565" s="7">
        <v>1564</v>
      </c>
      <c r="B565" s="8">
        <v>45856</v>
      </c>
      <c r="C565" s="14" t="s">
        <v>17</v>
      </c>
      <c r="D565" s="14" t="s">
        <v>24</v>
      </c>
      <c r="E565" s="14" t="s">
        <v>34</v>
      </c>
      <c r="F565" s="14" t="s">
        <v>32</v>
      </c>
      <c r="G565" s="7">
        <v>10</v>
      </c>
      <c r="H565" s="7">
        <v>4000</v>
      </c>
      <c r="I565" s="9">
        <v>15</v>
      </c>
      <c r="J565" s="10">
        <f>SALCE[[#This Row],[After_Discount]]*SALCE[[#This Row],[Tax_%]]/100</f>
        <v>47.6</v>
      </c>
      <c r="K565" s="11">
        <v>0.14000000000000001</v>
      </c>
      <c r="L565" s="10">
        <f>SALCE[[#This Row],[Quantity]]*SALCE[[#This Row],[Unit_Price]]</f>
        <v>40000</v>
      </c>
      <c r="M565" s="10">
        <f>SALCE[[#This Row],[Gross_Sales]]*SALCE[[#This Row],[Discount_%]]/100</f>
        <v>6000</v>
      </c>
      <c r="N565" s="10">
        <f>SALCE[[#This Row],[After_Discount]]+SALCE[[#This Row],[Tax_Value]]</f>
        <v>34047.599999999999</v>
      </c>
      <c r="O565" s="10">
        <f>SALCE[[#This Row],[Gross_Sales]]*70%</f>
        <v>28000</v>
      </c>
      <c r="P565" s="10">
        <f>SALCE[[#This Row],[Net_Sales]]-SALCE[[#This Row],[Cost_Price]]</f>
        <v>6047.5999999999985</v>
      </c>
      <c r="Q565" s="10">
        <f>SALCE[[#This Row],[Gross_Sales]]-SALCE[[#This Row],[Discount_Value]]</f>
        <v>34000</v>
      </c>
      <c r="R565" s="15" t="s">
        <v>49</v>
      </c>
      <c r="S565" s="15" t="s">
        <v>37</v>
      </c>
      <c r="T565" s="15" t="s">
        <v>22</v>
      </c>
    </row>
    <row r="566" spans="1:20" s="12" customFormat="1" ht="30" customHeight="1" thickTop="1" thickBot="1" x14ac:dyDescent="0.4">
      <c r="A566" s="7">
        <v>1565</v>
      </c>
      <c r="B566" s="8">
        <v>45857</v>
      </c>
      <c r="C566" s="14" t="s">
        <v>17</v>
      </c>
      <c r="D566" s="14" t="s">
        <v>18</v>
      </c>
      <c r="E566" s="14" t="s">
        <v>25</v>
      </c>
      <c r="F566" s="14" t="s">
        <v>20</v>
      </c>
      <c r="G566" s="7">
        <v>8</v>
      </c>
      <c r="H566" s="7">
        <v>500</v>
      </c>
      <c r="I566" s="9">
        <v>10</v>
      </c>
      <c r="J566" s="10">
        <f>SALCE[[#This Row],[After_Discount]]*SALCE[[#This Row],[Tax_%]]/100</f>
        <v>5.0400000000000009</v>
      </c>
      <c r="K566" s="11">
        <v>0.14000000000000001</v>
      </c>
      <c r="L566" s="10">
        <f>SALCE[[#This Row],[Quantity]]*SALCE[[#This Row],[Unit_Price]]</f>
        <v>4000</v>
      </c>
      <c r="M566" s="10">
        <f>SALCE[[#This Row],[Gross_Sales]]*SALCE[[#This Row],[Discount_%]]/100</f>
        <v>400</v>
      </c>
      <c r="N566" s="10">
        <f>SALCE[[#This Row],[After_Discount]]+SALCE[[#This Row],[Tax_Value]]</f>
        <v>3605.04</v>
      </c>
      <c r="O566" s="10">
        <f>SALCE[[#This Row],[Gross_Sales]]*70%</f>
        <v>2800</v>
      </c>
      <c r="P566" s="10">
        <f>SALCE[[#This Row],[Net_Sales]]-SALCE[[#This Row],[Cost_Price]]</f>
        <v>805.04</v>
      </c>
      <c r="Q566" s="10">
        <f>SALCE[[#This Row],[Gross_Sales]]-SALCE[[#This Row],[Discount_Value]]</f>
        <v>3600</v>
      </c>
      <c r="R566" s="15" t="s">
        <v>61</v>
      </c>
      <c r="S566" s="15" t="s">
        <v>37</v>
      </c>
      <c r="T566" s="15" t="s">
        <v>22</v>
      </c>
    </row>
    <row r="567" spans="1:20" s="12" customFormat="1" ht="30" customHeight="1" thickTop="1" thickBot="1" x14ac:dyDescent="0.4">
      <c r="A567" s="7">
        <v>1566</v>
      </c>
      <c r="B567" s="8">
        <v>45858</v>
      </c>
      <c r="C567" s="14" t="s">
        <v>17</v>
      </c>
      <c r="D567" s="14" t="s">
        <v>38</v>
      </c>
      <c r="E567" s="14" t="s">
        <v>34</v>
      </c>
      <c r="F567" s="14" t="s">
        <v>32</v>
      </c>
      <c r="G567" s="7">
        <v>1</v>
      </c>
      <c r="H567" s="7">
        <v>4000</v>
      </c>
      <c r="I567" s="9">
        <v>0</v>
      </c>
      <c r="J567" s="10">
        <f>SALCE[[#This Row],[After_Discount]]*SALCE[[#This Row],[Tax_%]]/100</f>
        <v>5.6</v>
      </c>
      <c r="K567" s="11">
        <v>0.14000000000000001</v>
      </c>
      <c r="L567" s="10">
        <f>SALCE[[#This Row],[Quantity]]*SALCE[[#This Row],[Unit_Price]]</f>
        <v>4000</v>
      </c>
      <c r="M567" s="10">
        <f>SALCE[[#This Row],[Gross_Sales]]*SALCE[[#This Row],[Discount_%]]/100</f>
        <v>0</v>
      </c>
      <c r="N567" s="10">
        <f>SALCE[[#This Row],[After_Discount]]+SALCE[[#This Row],[Tax_Value]]</f>
        <v>4005.6</v>
      </c>
      <c r="O567" s="10">
        <f>SALCE[[#This Row],[Gross_Sales]]*70%</f>
        <v>2800</v>
      </c>
      <c r="P567" s="10">
        <f>SALCE[[#This Row],[Net_Sales]]-SALCE[[#This Row],[Cost_Price]]</f>
        <v>1205.5999999999999</v>
      </c>
      <c r="Q567" s="10">
        <f>SALCE[[#This Row],[Gross_Sales]]-SALCE[[#This Row],[Discount_Value]]</f>
        <v>4000</v>
      </c>
      <c r="R567" s="15" t="s">
        <v>61</v>
      </c>
      <c r="S567" s="15" t="s">
        <v>26</v>
      </c>
      <c r="T567" s="15" t="s">
        <v>22</v>
      </c>
    </row>
    <row r="568" spans="1:20" s="12" customFormat="1" ht="30" customHeight="1" thickTop="1" thickBot="1" x14ac:dyDescent="0.4">
      <c r="A568" s="7">
        <v>1567</v>
      </c>
      <c r="B568" s="8">
        <v>45859</v>
      </c>
      <c r="C568" s="14" t="s">
        <v>23</v>
      </c>
      <c r="D568" s="14" t="s">
        <v>18</v>
      </c>
      <c r="E568" s="14" t="s">
        <v>40</v>
      </c>
      <c r="F568" s="14" t="s">
        <v>20</v>
      </c>
      <c r="G568" s="7">
        <v>9</v>
      </c>
      <c r="H568" s="7">
        <v>800</v>
      </c>
      <c r="I568" s="9">
        <v>10</v>
      </c>
      <c r="J568" s="10">
        <f>SALCE[[#This Row],[After_Discount]]*SALCE[[#This Row],[Tax_%]]/100</f>
        <v>9.072000000000001</v>
      </c>
      <c r="K568" s="11">
        <v>0.14000000000000001</v>
      </c>
      <c r="L568" s="10">
        <f>SALCE[[#This Row],[Quantity]]*SALCE[[#This Row],[Unit_Price]]</f>
        <v>7200</v>
      </c>
      <c r="M568" s="10">
        <f>SALCE[[#This Row],[Gross_Sales]]*SALCE[[#This Row],[Discount_%]]/100</f>
        <v>720</v>
      </c>
      <c r="N568" s="10">
        <f>SALCE[[#This Row],[After_Discount]]+SALCE[[#This Row],[Tax_Value]]</f>
        <v>6489.0720000000001</v>
      </c>
      <c r="O568" s="10">
        <f>SALCE[[#This Row],[Gross_Sales]]*70%</f>
        <v>5040</v>
      </c>
      <c r="P568" s="10">
        <f>SALCE[[#This Row],[Net_Sales]]-SALCE[[#This Row],[Cost_Price]]</f>
        <v>1449.0720000000001</v>
      </c>
      <c r="Q568" s="10">
        <f>SALCE[[#This Row],[Gross_Sales]]-SALCE[[#This Row],[Discount_Value]]</f>
        <v>6480</v>
      </c>
      <c r="R568" s="15" t="s">
        <v>51</v>
      </c>
      <c r="S568" s="15" t="s">
        <v>21</v>
      </c>
      <c r="T568" s="15" t="s">
        <v>22</v>
      </c>
    </row>
    <row r="569" spans="1:20" s="12" customFormat="1" ht="30" customHeight="1" thickTop="1" thickBot="1" x14ac:dyDescent="0.4">
      <c r="A569" s="7">
        <v>1568</v>
      </c>
      <c r="B569" s="8">
        <v>45860</v>
      </c>
      <c r="C569" s="14" t="s">
        <v>23</v>
      </c>
      <c r="D569" s="14" t="s">
        <v>24</v>
      </c>
      <c r="E569" s="14" t="s">
        <v>40</v>
      </c>
      <c r="F569" s="14" t="s">
        <v>20</v>
      </c>
      <c r="G569" s="7">
        <v>9</v>
      </c>
      <c r="H569" s="7">
        <v>800</v>
      </c>
      <c r="I569" s="9">
        <v>10</v>
      </c>
      <c r="J569" s="10">
        <f>SALCE[[#This Row],[After_Discount]]*SALCE[[#This Row],[Tax_%]]/100</f>
        <v>9.072000000000001</v>
      </c>
      <c r="K569" s="11">
        <v>0.14000000000000001</v>
      </c>
      <c r="L569" s="10">
        <f>SALCE[[#This Row],[Quantity]]*SALCE[[#This Row],[Unit_Price]]</f>
        <v>7200</v>
      </c>
      <c r="M569" s="10">
        <f>SALCE[[#This Row],[Gross_Sales]]*SALCE[[#This Row],[Discount_%]]/100</f>
        <v>720</v>
      </c>
      <c r="N569" s="10">
        <f>SALCE[[#This Row],[After_Discount]]+SALCE[[#This Row],[Tax_Value]]</f>
        <v>6489.0720000000001</v>
      </c>
      <c r="O569" s="10">
        <f>SALCE[[#This Row],[Gross_Sales]]*70%</f>
        <v>5040</v>
      </c>
      <c r="P569" s="10">
        <f>SALCE[[#This Row],[Net_Sales]]-SALCE[[#This Row],[Cost_Price]]</f>
        <v>1449.0720000000001</v>
      </c>
      <c r="Q569" s="10">
        <f>SALCE[[#This Row],[Gross_Sales]]-SALCE[[#This Row],[Discount_Value]]</f>
        <v>6480</v>
      </c>
      <c r="R569" s="15" t="s">
        <v>56</v>
      </c>
      <c r="S569" s="15" t="s">
        <v>21</v>
      </c>
      <c r="T569" s="15" t="s">
        <v>22</v>
      </c>
    </row>
    <row r="570" spans="1:20" s="12" customFormat="1" ht="30" customHeight="1" thickTop="1" thickBot="1" x14ac:dyDescent="0.4">
      <c r="A570" s="7">
        <v>1569</v>
      </c>
      <c r="B570" s="8">
        <v>45861</v>
      </c>
      <c r="C570" s="14" t="s">
        <v>35</v>
      </c>
      <c r="D570" s="14" t="s">
        <v>29</v>
      </c>
      <c r="E570" s="14" t="s">
        <v>40</v>
      </c>
      <c r="F570" s="14" t="s">
        <v>20</v>
      </c>
      <c r="G570" s="7">
        <v>5</v>
      </c>
      <c r="H570" s="7">
        <v>800</v>
      </c>
      <c r="I570" s="9">
        <v>5</v>
      </c>
      <c r="J570" s="10">
        <f>SALCE[[#This Row],[After_Discount]]*SALCE[[#This Row],[Tax_%]]/100</f>
        <v>5.32</v>
      </c>
      <c r="K570" s="11">
        <v>0.14000000000000001</v>
      </c>
      <c r="L570" s="10">
        <f>SALCE[[#This Row],[Quantity]]*SALCE[[#This Row],[Unit_Price]]</f>
        <v>4000</v>
      </c>
      <c r="M570" s="10">
        <f>SALCE[[#This Row],[Gross_Sales]]*SALCE[[#This Row],[Discount_%]]/100</f>
        <v>200</v>
      </c>
      <c r="N570" s="10">
        <f>SALCE[[#This Row],[After_Discount]]+SALCE[[#This Row],[Tax_Value]]</f>
        <v>3805.32</v>
      </c>
      <c r="O570" s="10">
        <f>SALCE[[#This Row],[Gross_Sales]]*70%</f>
        <v>2800</v>
      </c>
      <c r="P570" s="10">
        <f>SALCE[[#This Row],[Net_Sales]]-SALCE[[#This Row],[Cost_Price]]</f>
        <v>1005.3200000000002</v>
      </c>
      <c r="Q570" s="10">
        <f>SALCE[[#This Row],[Gross_Sales]]-SALCE[[#This Row],[Discount_Value]]</f>
        <v>3800</v>
      </c>
      <c r="R570" s="15" t="s">
        <v>62</v>
      </c>
      <c r="S570" s="15" t="s">
        <v>26</v>
      </c>
      <c r="T570" s="15" t="s">
        <v>27</v>
      </c>
    </row>
    <row r="571" spans="1:20" s="12" customFormat="1" ht="30" customHeight="1" thickTop="1" thickBot="1" x14ac:dyDescent="0.4">
      <c r="A571" s="7">
        <v>1570</v>
      </c>
      <c r="B571" s="8">
        <v>45862</v>
      </c>
      <c r="C571" s="14" t="s">
        <v>30</v>
      </c>
      <c r="D571" s="14" t="s">
        <v>24</v>
      </c>
      <c r="E571" s="14" t="s">
        <v>19</v>
      </c>
      <c r="F571" s="14" t="s">
        <v>20</v>
      </c>
      <c r="G571" s="7">
        <v>7</v>
      </c>
      <c r="H571" s="7">
        <v>300</v>
      </c>
      <c r="I571" s="9">
        <v>10</v>
      </c>
      <c r="J571" s="10">
        <f>SALCE[[#This Row],[After_Discount]]*SALCE[[#This Row],[Tax_%]]/100</f>
        <v>2.6460000000000004</v>
      </c>
      <c r="K571" s="11">
        <v>0.14000000000000001</v>
      </c>
      <c r="L571" s="10">
        <f>SALCE[[#This Row],[Quantity]]*SALCE[[#This Row],[Unit_Price]]</f>
        <v>2100</v>
      </c>
      <c r="M571" s="10">
        <f>SALCE[[#This Row],[Gross_Sales]]*SALCE[[#This Row],[Discount_%]]/100</f>
        <v>210</v>
      </c>
      <c r="N571" s="10">
        <f>SALCE[[#This Row],[After_Discount]]+SALCE[[#This Row],[Tax_Value]]</f>
        <v>1892.646</v>
      </c>
      <c r="O571" s="10">
        <f>SALCE[[#This Row],[Gross_Sales]]*70%</f>
        <v>1470</v>
      </c>
      <c r="P571" s="10">
        <f>SALCE[[#This Row],[Net_Sales]]-SALCE[[#This Row],[Cost_Price]]</f>
        <v>422.64599999999996</v>
      </c>
      <c r="Q571" s="10">
        <f>SALCE[[#This Row],[Gross_Sales]]-SALCE[[#This Row],[Discount_Value]]</f>
        <v>1890</v>
      </c>
      <c r="R571" s="15" t="s">
        <v>59</v>
      </c>
      <c r="S571" s="15" t="s">
        <v>37</v>
      </c>
      <c r="T571" s="15" t="s">
        <v>22</v>
      </c>
    </row>
    <row r="572" spans="1:20" s="12" customFormat="1" ht="30" customHeight="1" thickTop="1" thickBot="1" x14ac:dyDescent="0.4">
      <c r="A572" s="7">
        <v>1571</v>
      </c>
      <c r="B572" s="8">
        <v>45863</v>
      </c>
      <c r="C572" s="14" t="s">
        <v>23</v>
      </c>
      <c r="D572" s="14" t="s">
        <v>18</v>
      </c>
      <c r="E572" s="14" t="s">
        <v>33</v>
      </c>
      <c r="F572" s="14" t="s">
        <v>32</v>
      </c>
      <c r="G572" s="7">
        <v>8</v>
      </c>
      <c r="H572" s="7">
        <v>6000</v>
      </c>
      <c r="I572" s="9">
        <v>5</v>
      </c>
      <c r="J572" s="10">
        <f>SALCE[[#This Row],[After_Discount]]*SALCE[[#This Row],[Tax_%]]/100</f>
        <v>63.840000000000011</v>
      </c>
      <c r="K572" s="11">
        <v>0.14000000000000001</v>
      </c>
      <c r="L572" s="10">
        <f>SALCE[[#This Row],[Quantity]]*SALCE[[#This Row],[Unit_Price]]</f>
        <v>48000</v>
      </c>
      <c r="M572" s="10">
        <f>SALCE[[#This Row],[Gross_Sales]]*SALCE[[#This Row],[Discount_%]]/100</f>
        <v>2400</v>
      </c>
      <c r="N572" s="10">
        <f>SALCE[[#This Row],[After_Discount]]+SALCE[[#This Row],[Tax_Value]]</f>
        <v>45663.839999999997</v>
      </c>
      <c r="O572" s="10">
        <f>SALCE[[#This Row],[Gross_Sales]]*70%</f>
        <v>33600</v>
      </c>
      <c r="P572" s="10">
        <f>SALCE[[#This Row],[Net_Sales]]-SALCE[[#This Row],[Cost_Price]]</f>
        <v>12063.839999999997</v>
      </c>
      <c r="Q572" s="10">
        <f>SALCE[[#This Row],[Gross_Sales]]-SALCE[[#This Row],[Discount_Value]]</f>
        <v>45600</v>
      </c>
      <c r="R572" s="15" t="s">
        <v>49</v>
      </c>
      <c r="S572" s="15" t="s">
        <v>37</v>
      </c>
      <c r="T572" s="15" t="s">
        <v>22</v>
      </c>
    </row>
    <row r="573" spans="1:20" s="12" customFormat="1" ht="30" customHeight="1" thickTop="1" thickBot="1" x14ac:dyDescent="0.4">
      <c r="A573" s="7">
        <v>1572</v>
      </c>
      <c r="B573" s="8">
        <v>45864</v>
      </c>
      <c r="C573" s="14" t="s">
        <v>39</v>
      </c>
      <c r="D573" s="14" t="s">
        <v>24</v>
      </c>
      <c r="E573" s="14" t="s">
        <v>40</v>
      </c>
      <c r="F573" s="14" t="s">
        <v>20</v>
      </c>
      <c r="G573" s="7">
        <v>1</v>
      </c>
      <c r="H573" s="7">
        <v>800</v>
      </c>
      <c r="I573" s="9">
        <v>15</v>
      </c>
      <c r="J573" s="10">
        <f>SALCE[[#This Row],[After_Discount]]*SALCE[[#This Row],[Tax_%]]/100</f>
        <v>0.95200000000000007</v>
      </c>
      <c r="K573" s="11">
        <v>0.14000000000000001</v>
      </c>
      <c r="L573" s="10">
        <f>SALCE[[#This Row],[Quantity]]*SALCE[[#This Row],[Unit_Price]]</f>
        <v>800</v>
      </c>
      <c r="M573" s="10">
        <f>SALCE[[#This Row],[Gross_Sales]]*SALCE[[#This Row],[Discount_%]]/100</f>
        <v>120</v>
      </c>
      <c r="N573" s="10">
        <f>SALCE[[#This Row],[After_Discount]]+SALCE[[#This Row],[Tax_Value]]</f>
        <v>680.952</v>
      </c>
      <c r="O573" s="10">
        <f>SALCE[[#This Row],[Gross_Sales]]*70%</f>
        <v>560</v>
      </c>
      <c r="P573" s="10">
        <f>SALCE[[#This Row],[Net_Sales]]-SALCE[[#This Row],[Cost_Price]]</f>
        <v>120.952</v>
      </c>
      <c r="Q573" s="10">
        <f>SALCE[[#This Row],[Gross_Sales]]-SALCE[[#This Row],[Discount_Value]]</f>
        <v>680</v>
      </c>
      <c r="R573" s="15" t="s">
        <v>56</v>
      </c>
      <c r="S573" s="15" t="s">
        <v>37</v>
      </c>
      <c r="T573" s="15" t="s">
        <v>27</v>
      </c>
    </row>
    <row r="574" spans="1:20" s="12" customFormat="1" ht="30" customHeight="1" thickTop="1" thickBot="1" x14ac:dyDescent="0.4">
      <c r="A574" s="7">
        <v>1573</v>
      </c>
      <c r="B574" s="8">
        <v>45865</v>
      </c>
      <c r="C574" s="14" t="s">
        <v>23</v>
      </c>
      <c r="D574" s="14" t="s">
        <v>38</v>
      </c>
      <c r="E574" s="14" t="s">
        <v>31</v>
      </c>
      <c r="F574" s="14" t="s">
        <v>32</v>
      </c>
      <c r="G574" s="7">
        <v>4</v>
      </c>
      <c r="H574" s="7">
        <v>15000</v>
      </c>
      <c r="I574" s="9">
        <v>15</v>
      </c>
      <c r="J574" s="10">
        <f>SALCE[[#This Row],[After_Discount]]*SALCE[[#This Row],[Tax_%]]/100</f>
        <v>71.400000000000006</v>
      </c>
      <c r="K574" s="11">
        <v>0.14000000000000001</v>
      </c>
      <c r="L574" s="10">
        <f>SALCE[[#This Row],[Quantity]]*SALCE[[#This Row],[Unit_Price]]</f>
        <v>60000</v>
      </c>
      <c r="M574" s="10">
        <f>SALCE[[#This Row],[Gross_Sales]]*SALCE[[#This Row],[Discount_%]]/100</f>
        <v>9000</v>
      </c>
      <c r="N574" s="10">
        <f>SALCE[[#This Row],[After_Discount]]+SALCE[[#This Row],[Tax_Value]]</f>
        <v>51071.4</v>
      </c>
      <c r="O574" s="10">
        <f>SALCE[[#This Row],[Gross_Sales]]*70%</f>
        <v>42000</v>
      </c>
      <c r="P574" s="10">
        <f>SALCE[[#This Row],[Net_Sales]]-SALCE[[#This Row],[Cost_Price]]</f>
        <v>9071.4000000000015</v>
      </c>
      <c r="Q574" s="10">
        <f>SALCE[[#This Row],[Gross_Sales]]-SALCE[[#This Row],[Discount_Value]]</f>
        <v>51000</v>
      </c>
      <c r="R574" s="15" t="s">
        <v>59</v>
      </c>
      <c r="S574" s="15" t="s">
        <v>37</v>
      </c>
      <c r="T574" s="15" t="s">
        <v>22</v>
      </c>
    </row>
    <row r="575" spans="1:20" s="12" customFormat="1" ht="30" customHeight="1" thickTop="1" thickBot="1" x14ac:dyDescent="0.4">
      <c r="A575" s="7">
        <v>1574</v>
      </c>
      <c r="B575" s="8">
        <v>45866</v>
      </c>
      <c r="C575" s="14" t="s">
        <v>23</v>
      </c>
      <c r="D575" s="14" t="s">
        <v>29</v>
      </c>
      <c r="E575" s="14" t="s">
        <v>34</v>
      </c>
      <c r="F575" s="14" t="s">
        <v>32</v>
      </c>
      <c r="G575" s="7">
        <v>5</v>
      </c>
      <c r="H575" s="7">
        <v>4000</v>
      </c>
      <c r="I575" s="9">
        <v>10</v>
      </c>
      <c r="J575" s="10">
        <f>SALCE[[#This Row],[After_Discount]]*SALCE[[#This Row],[Tax_%]]/100</f>
        <v>25.200000000000003</v>
      </c>
      <c r="K575" s="11">
        <v>0.14000000000000001</v>
      </c>
      <c r="L575" s="10">
        <f>SALCE[[#This Row],[Quantity]]*SALCE[[#This Row],[Unit_Price]]</f>
        <v>20000</v>
      </c>
      <c r="M575" s="10">
        <f>SALCE[[#This Row],[Gross_Sales]]*SALCE[[#This Row],[Discount_%]]/100</f>
        <v>2000</v>
      </c>
      <c r="N575" s="10">
        <f>SALCE[[#This Row],[After_Discount]]+SALCE[[#This Row],[Tax_Value]]</f>
        <v>18025.2</v>
      </c>
      <c r="O575" s="10">
        <f>SALCE[[#This Row],[Gross_Sales]]*70%</f>
        <v>14000</v>
      </c>
      <c r="P575" s="10">
        <f>SALCE[[#This Row],[Net_Sales]]-SALCE[[#This Row],[Cost_Price]]</f>
        <v>4025.2000000000007</v>
      </c>
      <c r="Q575" s="10">
        <f>SALCE[[#This Row],[Gross_Sales]]-SALCE[[#This Row],[Discount_Value]]</f>
        <v>18000</v>
      </c>
      <c r="R575" s="15" t="s">
        <v>62</v>
      </c>
      <c r="S575" s="15" t="s">
        <v>26</v>
      </c>
      <c r="T575" s="15" t="s">
        <v>27</v>
      </c>
    </row>
    <row r="576" spans="1:20" s="12" customFormat="1" ht="30" customHeight="1" thickTop="1" thickBot="1" x14ac:dyDescent="0.4">
      <c r="A576" s="7">
        <v>1575</v>
      </c>
      <c r="B576" s="8">
        <v>45867</v>
      </c>
      <c r="C576" s="14" t="s">
        <v>35</v>
      </c>
      <c r="D576" s="14" t="s">
        <v>24</v>
      </c>
      <c r="E576" s="14" t="s">
        <v>33</v>
      </c>
      <c r="F576" s="14" t="s">
        <v>32</v>
      </c>
      <c r="G576" s="7">
        <v>10</v>
      </c>
      <c r="H576" s="7">
        <v>6000</v>
      </c>
      <c r="I576" s="9">
        <v>15</v>
      </c>
      <c r="J576" s="10">
        <f>SALCE[[#This Row],[After_Discount]]*SALCE[[#This Row],[Tax_%]]/100</f>
        <v>71.400000000000006</v>
      </c>
      <c r="K576" s="11">
        <v>0.14000000000000001</v>
      </c>
      <c r="L576" s="10">
        <f>SALCE[[#This Row],[Quantity]]*SALCE[[#This Row],[Unit_Price]]</f>
        <v>60000</v>
      </c>
      <c r="M576" s="10">
        <f>SALCE[[#This Row],[Gross_Sales]]*SALCE[[#This Row],[Discount_%]]/100</f>
        <v>9000</v>
      </c>
      <c r="N576" s="10">
        <f>SALCE[[#This Row],[After_Discount]]+SALCE[[#This Row],[Tax_Value]]</f>
        <v>51071.4</v>
      </c>
      <c r="O576" s="10">
        <f>SALCE[[#This Row],[Gross_Sales]]*70%</f>
        <v>42000</v>
      </c>
      <c r="P576" s="10">
        <f>SALCE[[#This Row],[Net_Sales]]-SALCE[[#This Row],[Cost_Price]]</f>
        <v>9071.4000000000015</v>
      </c>
      <c r="Q576" s="10">
        <f>SALCE[[#This Row],[Gross_Sales]]-SALCE[[#This Row],[Discount_Value]]</f>
        <v>51000</v>
      </c>
      <c r="R576" s="15" t="s">
        <v>52</v>
      </c>
      <c r="S576" s="15" t="s">
        <v>37</v>
      </c>
      <c r="T576" s="15" t="s">
        <v>27</v>
      </c>
    </row>
    <row r="577" spans="1:20" s="12" customFormat="1" ht="30" customHeight="1" thickTop="1" thickBot="1" x14ac:dyDescent="0.4">
      <c r="A577" s="7">
        <v>1576</v>
      </c>
      <c r="B577" s="8">
        <v>45868</v>
      </c>
      <c r="C577" s="14" t="s">
        <v>35</v>
      </c>
      <c r="D577" s="14" t="s">
        <v>41</v>
      </c>
      <c r="E577" s="14" t="s">
        <v>33</v>
      </c>
      <c r="F577" s="14" t="s">
        <v>32</v>
      </c>
      <c r="G577" s="7">
        <v>8</v>
      </c>
      <c r="H577" s="7">
        <v>6000</v>
      </c>
      <c r="I577" s="9">
        <v>5</v>
      </c>
      <c r="J577" s="10">
        <f>SALCE[[#This Row],[After_Discount]]*SALCE[[#This Row],[Tax_%]]/100</f>
        <v>63.840000000000011</v>
      </c>
      <c r="K577" s="11">
        <v>0.14000000000000001</v>
      </c>
      <c r="L577" s="10">
        <f>SALCE[[#This Row],[Quantity]]*SALCE[[#This Row],[Unit_Price]]</f>
        <v>48000</v>
      </c>
      <c r="M577" s="10">
        <f>SALCE[[#This Row],[Gross_Sales]]*SALCE[[#This Row],[Discount_%]]/100</f>
        <v>2400</v>
      </c>
      <c r="N577" s="10">
        <f>SALCE[[#This Row],[After_Discount]]+SALCE[[#This Row],[Tax_Value]]</f>
        <v>45663.839999999997</v>
      </c>
      <c r="O577" s="10">
        <f>SALCE[[#This Row],[Gross_Sales]]*70%</f>
        <v>33600</v>
      </c>
      <c r="P577" s="10">
        <f>SALCE[[#This Row],[Net_Sales]]-SALCE[[#This Row],[Cost_Price]]</f>
        <v>12063.839999999997</v>
      </c>
      <c r="Q577" s="10">
        <f>SALCE[[#This Row],[Gross_Sales]]-SALCE[[#This Row],[Discount_Value]]</f>
        <v>45600</v>
      </c>
      <c r="R577" s="15" t="s">
        <v>52</v>
      </c>
      <c r="S577" s="15" t="s">
        <v>37</v>
      </c>
      <c r="T577" s="15" t="s">
        <v>22</v>
      </c>
    </row>
    <row r="578" spans="1:20" s="12" customFormat="1" ht="30" customHeight="1" thickTop="1" thickBot="1" x14ac:dyDescent="0.4">
      <c r="A578" s="7">
        <v>1577</v>
      </c>
      <c r="B578" s="8">
        <v>45869</v>
      </c>
      <c r="C578" s="14" t="s">
        <v>28</v>
      </c>
      <c r="D578" s="14" t="s">
        <v>38</v>
      </c>
      <c r="E578" s="14" t="s">
        <v>40</v>
      </c>
      <c r="F578" s="14" t="s">
        <v>20</v>
      </c>
      <c r="G578" s="7">
        <v>2</v>
      </c>
      <c r="H578" s="7">
        <v>800</v>
      </c>
      <c r="I578" s="9">
        <v>0</v>
      </c>
      <c r="J578" s="10">
        <f>SALCE[[#This Row],[After_Discount]]*SALCE[[#This Row],[Tax_%]]/100</f>
        <v>2.2400000000000002</v>
      </c>
      <c r="K578" s="11">
        <v>0.14000000000000001</v>
      </c>
      <c r="L578" s="10">
        <f>SALCE[[#This Row],[Quantity]]*SALCE[[#This Row],[Unit_Price]]</f>
        <v>1600</v>
      </c>
      <c r="M578" s="10">
        <f>SALCE[[#This Row],[Gross_Sales]]*SALCE[[#This Row],[Discount_%]]/100</f>
        <v>0</v>
      </c>
      <c r="N578" s="10">
        <f>SALCE[[#This Row],[After_Discount]]+SALCE[[#This Row],[Tax_Value]]</f>
        <v>1602.24</v>
      </c>
      <c r="O578" s="10">
        <f>SALCE[[#This Row],[Gross_Sales]]*70%</f>
        <v>1120</v>
      </c>
      <c r="P578" s="10">
        <f>SALCE[[#This Row],[Net_Sales]]-SALCE[[#This Row],[Cost_Price]]</f>
        <v>482.24</v>
      </c>
      <c r="Q578" s="10">
        <f>SALCE[[#This Row],[Gross_Sales]]-SALCE[[#This Row],[Discount_Value]]</f>
        <v>1600</v>
      </c>
      <c r="R578" s="15" t="s">
        <v>54</v>
      </c>
      <c r="S578" s="15" t="s">
        <v>26</v>
      </c>
      <c r="T578" s="15" t="s">
        <v>27</v>
      </c>
    </row>
    <row r="579" spans="1:20" s="12" customFormat="1" ht="30" customHeight="1" thickTop="1" thickBot="1" x14ac:dyDescent="0.4">
      <c r="A579" s="7">
        <v>1578</v>
      </c>
      <c r="B579" s="8">
        <v>45870</v>
      </c>
      <c r="C579" s="14" t="s">
        <v>35</v>
      </c>
      <c r="D579" s="14" t="s">
        <v>41</v>
      </c>
      <c r="E579" s="14" t="s">
        <v>40</v>
      </c>
      <c r="F579" s="14" t="s">
        <v>20</v>
      </c>
      <c r="G579" s="7">
        <v>10</v>
      </c>
      <c r="H579" s="7">
        <v>800</v>
      </c>
      <c r="I579" s="9">
        <v>0</v>
      </c>
      <c r="J579" s="10">
        <f>SALCE[[#This Row],[After_Discount]]*SALCE[[#This Row],[Tax_%]]/100</f>
        <v>11.2</v>
      </c>
      <c r="K579" s="11">
        <v>0.14000000000000001</v>
      </c>
      <c r="L579" s="10">
        <f>SALCE[[#This Row],[Quantity]]*SALCE[[#This Row],[Unit_Price]]</f>
        <v>8000</v>
      </c>
      <c r="M579" s="10">
        <f>SALCE[[#This Row],[Gross_Sales]]*SALCE[[#This Row],[Discount_%]]/100</f>
        <v>0</v>
      </c>
      <c r="N579" s="10">
        <f>SALCE[[#This Row],[After_Discount]]+SALCE[[#This Row],[Tax_Value]]</f>
        <v>8011.2</v>
      </c>
      <c r="O579" s="10">
        <f>SALCE[[#This Row],[Gross_Sales]]*70%</f>
        <v>5600</v>
      </c>
      <c r="P579" s="10">
        <f>SALCE[[#This Row],[Net_Sales]]-SALCE[[#This Row],[Cost_Price]]</f>
        <v>2411.1999999999998</v>
      </c>
      <c r="Q579" s="10">
        <f>SALCE[[#This Row],[Gross_Sales]]-SALCE[[#This Row],[Discount_Value]]</f>
        <v>8000</v>
      </c>
      <c r="R579" s="15" t="s">
        <v>59</v>
      </c>
      <c r="S579" s="15" t="s">
        <v>37</v>
      </c>
      <c r="T579" s="15" t="s">
        <v>22</v>
      </c>
    </row>
    <row r="580" spans="1:20" s="12" customFormat="1" ht="30" customHeight="1" thickTop="1" thickBot="1" x14ac:dyDescent="0.4">
      <c r="A580" s="7">
        <v>1579</v>
      </c>
      <c r="B580" s="8">
        <v>45871</v>
      </c>
      <c r="C580" s="14" t="s">
        <v>23</v>
      </c>
      <c r="D580" s="14" t="s">
        <v>36</v>
      </c>
      <c r="E580" s="14" t="s">
        <v>33</v>
      </c>
      <c r="F580" s="14" t="s">
        <v>32</v>
      </c>
      <c r="G580" s="7">
        <v>1</v>
      </c>
      <c r="H580" s="7">
        <v>6000</v>
      </c>
      <c r="I580" s="9">
        <v>0</v>
      </c>
      <c r="J580" s="10">
        <f>SALCE[[#This Row],[After_Discount]]*SALCE[[#This Row],[Tax_%]]/100</f>
        <v>8.4</v>
      </c>
      <c r="K580" s="11">
        <v>0.14000000000000001</v>
      </c>
      <c r="L580" s="10">
        <f>SALCE[[#This Row],[Quantity]]*SALCE[[#This Row],[Unit_Price]]</f>
        <v>6000</v>
      </c>
      <c r="M580" s="10">
        <f>SALCE[[#This Row],[Gross_Sales]]*SALCE[[#This Row],[Discount_%]]/100</f>
        <v>0</v>
      </c>
      <c r="N580" s="10">
        <f>SALCE[[#This Row],[After_Discount]]+SALCE[[#This Row],[Tax_Value]]</f>
        <v>6008.4</v>
      </c>
      <c r="O580" s="10">
        <f>SALCE[[#This Row],[Gross_Sales]]*70%</f>
        <v>4200</v>
      </c>
      <c r="P580" s="10">
        <f>SALCE[[#This Row],[Net_Sales]]-SALCE[[#This Row],[Cost_Price]]</f>
        <v>1808.3999999999996</v>
      </c>
      <c r="Q580" s="10">
        <f>SALCE[[#This Row],[Gross_Sales]]-SALCE[[#This Row],[Discount_Value]]</f>
        <v>6000</v>
      </c>
      <c r="R580" s="15" t="s">
        <v>59</v>
      </c>
      <c r="S580" s="15" t="s">
        <v>21</v>
      </c>
      <c r="T580" s="15" t="s">
        <v>22</v>
      </c>
    </row>
    <row r="581" spans="1:20" s="12" customFormat="1" ht="30" customHeight="1" thickTop="1" thickBot="1" x14ac:dyDescent="0.4">
      <c r="A581" s="7">
        <v>1580</v>
      </c>
      <c r="B581" s="8">
        <v>45872</v>
      </c>
      <c r="C581" s="14" t="s">
        <v>39</v>
      </c>
      <c r="D581" s="14" t="s">
        <v>38</v>
      </c>
      <c r="E581" s="14" t="s">
        <v>40</v>
      </c>
      <c r="F581" s="14" t="s">
        <v>20</v>
      </c>
      <c r="G581" s="7">
        <v>6</v>
      </c>
      <c r="H581" s="7">
        <v>800</v>
      </c>
      <c r="I581" s="9">
        <v>15</v>
      </c>
      <c r="J581" s="10">
        <f>SALCE[[#This Row],[After_Discount]]*SALCE[[#This Row],[Tax_%]]/100</f>
        <v>5.7120000000000006</v>
      </c>
      <c r="K581" s="11">
        <v>0.14000000000000001</v>
      </c>
      <c r="L581" s="10">
        <f>SALCE[[#This Row],[Quantity]]*SALCE[[#This Row],[Unit_Price]]</f>
        <v>4800</v>
      </c>
      <c r="M581" s="10">
        <f>SALCE[[#This Row],[Gross_Sales]]*SALCE[[#This Row],[Discount_%]]/100</f>
        <v>720</v>
      </c>
      <c r="N581" s="10">
        <f>SALCE[[#This Row],[After_Discount]]+SALCE[[#This Row],[Tax_Value]]</f>
        <v>4085.712</v>
      </c>
      <c r="O581" s="10">
        <f>SALCE[[#This Row],[Gross_Sales]]*70%</f>
        <v>3360</v>
      </c>
      <c r="P581" s="10">
        <f>SALCE[[#This Row],[Net_Sales]]-SALCE[[#This Row],[Cost_Price]]</f>
        <v>725.71199999999999</v>
      </c>
      <c r="Q581" s="10">
        <f>SALCE[[#This Row],[Gross_Sales]]-SALCE[[#This Row],[Discount_Value]]</f>
        <v>4080</v>
      </c>
      <c r="R581" s="15" t="s">
        <v>56</v>
      </c>
      <c r="S581" s="15" t="s">
        <v>26</v>
      </c>
      <c r="T581" s="15" t="s">
        <v>27</v>
      </c>
    </row>
    <row r="582" spans="1:20" s="12" customFormat="1" ht="30" customHeight="1" thickTop="1" thickBot="1" x14ac:dyDescent="0.4">
      <c r="A582" s="7">
        <v>1581</v>
      </c>
      <c r="B582" s="8">
        <v>45873</v>
      </c>
      <c r="C582" s="14" t="s">
        <v>35</v>
      </c>
      <c r="D582" s="14" t="s">
        <v>41</v>
      </c>
      <c r="E582" s="14" t="s">
        <v>40</v>
      </c>
      <c r="F582" s="14" t="s">
        <v>20</v>
      </c>
      <c r="G582" s="7">
        <v>4</v>
      </c>
      <c r="H582" s="7">
        <v>800</v>
      </c>
      <c r="I582" s="9">
        <v>15</v>
      </c>
      <c r="J582" s="10">
        <f>SALCE[[#This Row],[After_Discount]]*SALCE[[#This Row],[Tax_%]]/100</f>
        <v>3.8080000000000003</v>
      </c>
      <c r="K582" s="11">
        <v>0.14000000000000001</v>
      </c>
      <c r="L582" s="10">
        <f>SALCE[[#This Row],[Quantity]]*SALCE[[#This Row],[Unit_Price]]</f>
        <v>3200</v>
      </c>
      <c r="M582" s="10">
        <f>SALCE[[#This Row],[Gross_Sales]]*SALCE[[#This Row],[Discount_%]]/100</f>
        <v>480</v>
      </c>
      <c r="N582" s="10">
        <f>SALCE[[#This Row],[After_Discount]]+SALCE[[#This Row],[Tax_Value]]</f>
        <v>2723.808</v>
      </c>
      <c r="O582" s="10">
        <f>SALCE[[#This Row],[Gross_Sales]]*70%</f>
        <v>2240</v>
      </c>
      <c r="P582" s="10">
        <f>SALCE[[#This Row],[Net_Sales]]-SALCE[[#This Row],[Cost_Price]]</f>
        <v>483.80799999999999</v>
      </c>
      <c r="Q582" s="10">
        <f>SALCE[[#This Row],[Gross_Sales]]-SALCE[[#This Row],[Discount_Value]]</f>
        <v>2720</v>
      </c>
      <c r="R582" s="15" t="s">
        <v>51</v>
      </c>
      <c r="S582" s="15" t="s">
        <v>26</v>
      </c>
      <c r="T582" s="15" t="s">
        <v>22</v>
      </c>
    </row>
    <row r="583" spans="1:20" s="12" customFormat="1" ht="30" customHeight="1" thickTop="1" thickBot="1" x14ac:dyDescent="0.4">
      <c r="A583" s="7">
        <v>1582</v>
      </c>
      <c r="B583" s="8">
        <v>45874</v>
      </c>
      <c r="C583" s="14" t="s">
        <v>28</v>
      </c>
      <c r="D583" s="14" t="s">
        <v>18</v>
      </c>
      <c r="E583" s="14" t="s">
        <v>31</v>
      </c>
      <c r="F583" s="14" t="s">
        <v>32</v>
      </c>
      <c r="G583" s="7">
        <v>8</v>
      </c>
      <c r="H583" s="7">
        <v>15000</v>
      </c>
      <c r="I583" s="9">
        <v>5</v>
      </c>
      <c r="J583" s="10">
        <f>SALCE[[#This Row],[After_Discount]]*SALCE[[#This Row],[Tax_%]]/100</f>
        <v>159.60000000000002</v>
      </c>
      <c r="K583" s="11">
        <v>0.14000000000000001</v>
      </c>
      <c r="L583" s="10">
        <f>SALCE[[#This Row],[Quantity]]*SALCE[[#This Row],[Unit_Price]]</f>
        <v>120000</v>
      </c>
      <c r="M583" s="10">
        <f>SALCE[[#This Row],[Gross_Sales]]*SALCE[[#This Row],[Discount_%]]/100</f>
        <v>6000</v>
      </c>
      <c r="N583" s="10">
        <f>SALCE[[#This Row],[After_Discount]]+SALCE[[#This Row],[Tax_Value]]</f>
        <v>114159.6</v>
      </c>
      <c r="O583" s="10">
        <f>SALCE[[#This Row],[Gross_Sales]]*70%</f>
        <v>84000</v>
      </c>
      <c r="P583" s="10">
        <f>SALCE[[#This Row],[Net_Sales]]-SALCE[[#This Row],[Cost_Price]]</f>
        <v>30159.600000000006</v>
      </c>
      <c r="Q583" s="10">
        <f>SALCE[[#This Row],[Gross_Sales]]-SALCE[[#This Row],[Discount_Value]]</f>
        <v>114000</v>
      </c>
      <c r="R583" s="15" t="s">
        <v>57</v>
      </c>
      <c r="S583" s="15" t="s">
        <v>37</v>
      </c>
      <c r="T583" s="15" t="s">
        <v>22</v>
      </c>
    </row>
    <row r="584" spans="1:20" s="12" customFormat="1" ht="30" customHeight="1" thickTop="1" thickBot="1" x14ac:dyDescent="0.4">
      <c r="A584" s="7">
        <v>1583</v>
      </c>
      <c r="B584" s="8">
        <v>45875</v>
      </c>
      <c r="C584" s="14" t="s">
        <v>35</v>
      </c>
      <c r="D584" s="14" t="s">
        <v>41</v>
      </c>
      <c r="E584" s="14" t="s">
        <v>34</v>
      </c>
      <c r="F584" s="14" t="s">
        <v>32</v>
      </c>
      <c r="G584" s="7">
        <v>5</v>
      </c>
      <c r="H584" s="7">
        <v>4000</v>
      </c>
      <c r="I584" s="9">
        <v>5</v>
      </c>
      <c r="J584" s="10">
        <f>SALCE[[#This Row],[After_Discount]]*SALCE[[#This Row],[Tax_%]]/100</f>
        <v>26.600000000000005</v>
      </c>
      <c r="K584" s="11">
        <v>0.14000000000000001</v>
      </c>
      <c r="L584" s="10">
        <f>SALCE[[#This Row],[Quantity]]*SALCE[[#This Row],[Unit_Price]]</f>
        <v>20000</v>
      </c>
      <c r="M584" s="10">
        <f>SALCE[[#This Row],[Gross_Sales]]*SALCE[[#This Row],[Discount_%]]/100</f>
        <v>1000</v>
      </c>
      <c r="N584" s="10">
        <f>SALCE[[#This Row],[After_Discount]]+SALCE[[#This Row],[Tax_Value]]</f>
        <v>19026.599999999999</v>
      </c>
      <c r="O584" s="10">
        <f>SALCE[[#This Row],[Gross_Sales]]*70%</f>
        <v>14000</v>
      </c>
      <c r="P584" s="10">
        <f>SALCE[[#This Row],[Net_Sales]]-SALCE[[#This Row],[Cost_Price]]</f>
        <v>5026.5999999999985</v>
      </c>
      <c r="Q584" s="10">
        <f>SALCE[[#This Row],[Gross_Sales]]-SALCE[[#This Row],[Discount_Value]]</f>
        <v>19000</v>
      </c>
      <c r="R584" s="15" t="s">
        <v>52</v>
      </c>
      <c r="S584" s="15" t="s">
        <v>37</v>
      </c>
      <c r="T584" s="15" t="s">
        <v>27</v>
      </c>
    </row>
    <row r="585" spans="1:20" s="12" customFormat="1" ht="30" customHeight="1" thickTop="1" thickBot="1" x14ac:dyDescent="0.4">
      <c r="A585" s="7">
        <v>1584</v>
      </c>
      <c r="B585" s="8">
        <v>45876</v>
      </c>
      <c r="C585" s="14" t="s">
        <v>39</v>
      </c>
      <c r="D585" s="14" t="s">
        <v>29</v>
      </c>
      <c r="E585" s="14" t="s">
        <v>19</v>
      </c>
      <c r="F585" s="14" t="s">
        <v>20</v>
      </c>
      <c r="G585" s="7">
        <v>7</v>
      </c>
      <c r="H585" s="7">
        <v>300</v>
      </c>
      <c r="I585" s="9">
        <v>15</v>
      </c>
      <c r="J585" s="10">
        <f>SALCE[[#This Row],[After_Discount]]*SALCE[[#This Row],[Tax_%]]/100</f>
        <v>2.4990000000000006</v>
      </c>
      <c r="K585" s="11">
        <v>0.14000000000000001</v>
      </c>
      <c r="L585" s="10">
        <f>SALCE[[#This Row],[Quantity]]*SALCE[[#This Row],[Unit_Price]]</f>
        <v>2100</v>
      </c>
      <c r="M585" s="10">
        <f>SALCE[[#This Row],[Gross_Sales]]*SALCE[[#This Row],[Discount_%]]/100</f>
        <v>315</v>
      </c>
      <c r="N585" s="10">
        <f>SALCE[[#This Row],[After_Discount]]+SALCE[[#This Row],[Tax_Value]]</f>
        <v>1787.499</v>
      </c>
      <c r="O585" s="10">
        <f>SALCE[[#This Row],[Gross_Sales]]*70%</f>
        <v>1470</v>
      </c>
      <c r="P585" s="10">
        <f>SALCE[[#This Row],[Net_Sales]]-SALCE[[#This Row],[Cost_Price]]</f>
        <v>317.49900000000002</v>
      </c>
      <c r="Q585" s="10">
        <f>SALCE[[#This Row],[Gross_Sales]]-SALCE[[#This Row],[Discount_Value]]</f>
        <v>1785</v>
      </c>
      <c r="R585" s="15" t="s">
        <v>56</v>
      </c>
      <c r="S585" s="15" t="s">
        <v>26</v>
      </c>
      <c r="T585" s="15" t="s">
        <v>22</v>
      </c>
    </row>
    <row r="586" spans="1:20" s="12" customFormat="1" ht="30" customHeight="1" thickTop="1" thickBot="1" x14ac:dyDescent="0.4">
      <c r="A586" s="7">
        <v>1585</v>
      </c>
      <c r="B586" s="8">
        <v>45877</v>
      </c>
      <c r="C586" s="14" t="s">
        <v>17</v>
      </c>
      <c r="D586" s="14" t="s">
        <v>41</v>
      </c>
      <c r="E586" s="14" t="s">
        <v>31</v>
      </c>
      <c r="F586" s="14" t="s">
        <v>32</v>
      </c>
      <c r="G586" s="7">
        <v>6</v>
      </c>
      <c r="H586" s="7">
        <v>15000</v>
      </c>
      <c r="I586" s="9">
        <v>0</v>
      </c>
      <c r="J586" s="10">
        <f>SALCE[[#This Row],[After_Discount]]*SALCE[[#This Row],[Tax_%]]/100</f>
        <v>126.00000000000001</v>
      </c>
      <c r="K586" s="11">
        <v>0.14000000000000001</v>
      </c>
      <c r="L586" s="10">
        <f>SALCE[[#This Row],[Quantity]]*SALCE[[#This Row],[Unit_Price]]</f>
        <v>90000</v>
      </c>
      <c r="M586" s="10">
        <f>SALCE[[#This Row],[Gross_Sales]]*SALCE[[#This Row],[Discount_%]]/100</f>
        <v>0</v>
      </c>
      <c r="N586" s="10">
        <f>SALCE[[#This Row],[After_Discount]]+SALCE[[#This Row],[Tax_Value]]</f>
        <v>90126</v>
      </c>
      <c r="O586" s="10">
        <f>SALCE[[#This Row],[Gross_Sales]]*70%</f>
        <v>62999.999999999993</v>
      </c>
      <c r="P586" s="10">
        <f>SALCE[[#This Row],[Net_Sales]]-SALCE[[#This Row],[Cost_Price]]</f>
        <v>27126.000000000007</v>
      </c>
      <c r="Q586" s="10">
        <f>SALCE[[#This Row],[Gross_Sales]]-SALCE[[#This Row],[Discount_Value]]</f>
        <v>90000</v>
      </c>
      <c r="R586" s="15" t="s">
        <v>51</v>
      </c>
      <c r="S586" s="15" t="s">
        <v>21</v>
      </c>
      <c r="T586" s="15" t="s">
        <v>27</v>
      </c>
    </row>
    <row r="587" spans="1:20" s="12" customFormat="1" ht="30" customHeight="1" thickTop="1" thickBot="1" x14ac:dyDescent="0.4">
      <c r="A587" s="7">
        <v>1586</v>
      </c>
      <c r="B587" s="8">
        <v>45878</v>
      </c>
      <c r="C587" s="14" t="s">
        <v>39</v>
      </c>
      <c r="D587" s="14" t="s">
        <v>38</v>
      </c>
      <c r="E587" s="14" t="s">
        <v>40</v>
      </c>
      <c r="F587" s="14" t="s">
        <v>20</v>
      </c>
      <c r="G587" s="7">
        <v>1</v>
      </c>
      <c r="H587" s="7">
        <v>800</v>
      </c>
      <c r="I587" s="9">
        <v>15</v>
      </c>
      <c r="J587" s="10">
        <f>SALCE[[#This Row],[After_Discount]]*SALCE[[#This Row],[Tax_%]]/100</f>
        <v>0.95200000000000007</v>
      </c>
      <c r="K587" s="11">
        <v>0.14000000000000001</v>
      </c>
      <c r="L587" s="10">
        <f>SALCE[[#This Row],[Quantity]]*SALCE[[#This Row],[Unit_Price]]</f>
        <v>800</v>
      </c>
      <c r="M587" s="10">
        <f>SALCE[[#This Row],[Gross_Sales]]*SALCE[[#This Row],[Discount_%]]/100</f>
        <v>120</v>
      </c>
      <c r="N587" s="10">
        <f>SALCE[[#This Row],[After_Discount]]+SALCE[[#This Row],[Tax_Value]]</f>
        <v>680.952</v>
      </c>
      <c r="O587" s="10">
        <f>SALCE[[#This Row],[Gross_Sales]]*70%</f>
        <v>560</v>
      </c>
      <c r="P587" s="10">
        <f>SALCE[[#This Row],[Net_Sales]]-SALCE[[#This Row],[Cost_Price]]</f>
        <v>120.952</v>
      </c>
      <c r="Q587" s="10">
        <f>SALCE[[#This Row],[Gross_Sales]]-SALCE[[#This Row],[Discount_Value]]</f>
        <v>680</v>
      </c>
      <c r="R587" s="15" t="s">
        <v>58</v>
      </c>
      <c r="S587" s="15" t="s">
        <v>21</v>
      </c>
      <c r="T587" s="15" t="s">
        <v>27</v>
      </c>
    </row>
    <row r="588" spans="1:20" s="12" customFormat="1" ht="30" customHeight="1" thickTop="1" thickBot="1" x14ac:dyDescent="0.4">
      <c r="A588" s="7">
        <v>1587</v>
      </c>
      <c r="B588" s="8">
        <v>45879</v>
      </c>
      <c r="C588" s="14" t="s">
        <v>39</v>
      </c>
      <c r="D588" s="14" t="s">
        <v>38</v>
      </c>
      <c r="E588" s="14" t="s">
        <v>33</v>
      </c>
      <c r="F588" s="14" t="s">
        <v>32</v>
      </c>
      <c r="G588" s="7">
        <v>2</v>
      </c>
      <c r="H588" s="7">
        <v>6000</v>
      </c>
      <c r="I588" s="9">
        <v>10</v>
      </c>
      <c r="J588" s="10">
        <f>SALCE[[#This Row],[After_Discount]]*SALCE[[#This Row],[Tax_%]]/100</f>
        <v>15.120000000000003</v>
      </c>
      <c r="K588" s="11">
        <v>0.14000000000000001</v>
      </c>
      <c r="L588" s="10">
        <f>SALCE[[#This Row],[Quantity]]*SALCE[[#This Row],[Unit_Price]]</f>
        <v>12000</v>
      </c>
      <c r="M588" s="10">
        <f>SALCE[[#This Row],[Gross_Sales]]*SALCE[[#This Row],[Discount_%]]/100</f>
        <v>1200</v>
      </c>
      <c r="N588" s="10">
        <f>SALCE[[#This Row],[After_Discount]]+SALCE[[#This Row],[Tax_Value]]</f>
        <v>10815.12</v>
      </c>
      <c r="O588" s="10">
        <f>SALCE[[#This Row],[Gross_Sales]]*70%</f>
        <v>8400</v>
      </c>
      <c r="P588" s="10">
        <f>SALCE[[#This Row],[Net_Sales]]-SALCE[[#This Row],[Cost_Price]]</f>
        <v>2415.1200000000008</v>
      </c>
      <c r="Q588" s="10">
        <f>SALCE[[#This Row],[Gross_Sales]]-SALCE[[#This Row],[Discount_Value]]</f>
        <v>10800</v>
      </c>
      <c r="R588" s="15" t="s">
        <v>62</v>
      </c>
      <c r="S588" s="15" t="s">
        <v>21</v>
      </c>
      <c r="T588" s="15" t="s">
        <v>22</v>
      </c>
    </row>
    <row r="589" spans="1:20" s="12" customFormat="1" ht="30" customHeight="1" thickTop="1" thickBot="1" x14ac:dyDescent="0.4">
      <c r="A589" s="7">
        <v>1588</v>
      </c>
      <c r="B589" s="8">
        <v>45880</v>
      </c>
      <c r="C589" s="14" t="s">
        <v>23</v>
      </c>
      <c r="D589" s="14" t="s">
        <v>18</v>
      </c>
      <c r="E589" s="14" t="s">
        <v>34</v>
      </c>
      <c r="F589" s="14" t="s">
        <v>32</v>
      </c>
      <c r="G589" s="7">
        <v>1</v>
      </c>
      <c r="H589" s="7">
        <v>4000</v>
      </c>
      <c r="I589" s="9">
        <v>10</v>
      </c>
      <c r="J589" s="10">
        <f>SALCE[[#This Row],[After_Discount]]*SALCE[[#This Row],[Tax_%]]/100</f>
        <v>5.0400000000000009</v>
      </c>
      <c r="K589" s="11">
        <v>0.14000000000000001</v>
      </c>
      <c r="L589" s="10">
        <f>SALCE[[#This Row],[Quantity]]*SALCE[[#This Row],[Unit_Price]]</f>
        <v>4000</v>
      </c>
      <c r="M589" s="10">
        <f>SALCE[[#This Row],[Gross_Sales]]*SALCE[[#This Row],[Discount_%]]/100</f>
        <v>400</v>
      </c>
      <c r="N589" s="10">
        <f>SALCE[[#This Row],[After_Discount]]+SALCE[[#This Row],[Tax_Value]]</f>
        <v>3605.04</v>
      </c>
      <c r="O589" s="10">
        <f>SALCE[[#This Row],[Gross_Sales]]*70%</f>
        <v>2800</v>
      </c>
      <c r="P589" s="10">
        <f>SALCE[[#This Row],[Net_Sales]]-SALCE[[#This Row],[Cost_Price]]</f>
        <v>805.04</v>
      </c>
      <c r="Q589" s="10">
        <f>SALCE[[#This Row],[Gross_Sales]]-SALCE[[#This Row],[Discount_Value]]</f>
        <v>3600</v>
      </c>
      <c r="R589" s="15" t="s">
        <v>51</v>
      </c>
      <c r="S589" s="15" t="s">
        <v>26</v>
      </c>
      <c r="T589" s="15" t="s">
        <v>22</v>
      </c>
    </row>
    <row r="590" spans="1:20" s="12" customFormat="1" ht="30" customHeight="1" thickTop="1" thickBot="1" x14ac:dyDescent="0.4">
      <c r="A590" s="7">
        <v>1589</v>
      </c>
      <c r="B590" s="8">
        <v>45881</v>
      </c>
      <c r="C590" s="14" t="s">
        <v>23</v>
      </c>
      <c r="D590" s="14" t="s">
        <v>24</v>
      </c>
      <c r="E590" s="14" t="s">
        <v>40</v>
      </c>
      <c r="F590" s="14" t="s">
        <v>20</v>
      </c>
      <c r="G590" s="7">
        <v>8</v>
      </c>
      <c r="H590" s="7">
        <v>800</v>
      </c>
      <c r="I590" s="9">
        <v>5</v>
      </c>
      <c r="J590" s="10">
        <f>SALCE[[#This Row],[After_Discount]]*SALCE[[#This Row],[Tax_%]]/100</f>
        <v>8.5120000000000005</v>
      </c>
      <c r="K590" s="11">
        <v>0.14000000000000001</v>
      </c>
      <c r="L590" s="10">
        <f>SALCE[[#This Row],[Quantity]]*SALCE[[#This Row],[Unit_Price]]</f>
        <v>6400</v>
      </c>
      <c r="M590" s="10">
        <f>SALCE[[#This Row],[Gross_Sales]]*SALCE[[#This Row],[Discount_%]]/100</f>
        <v>320</v>
      </c>
      <c r="N590" s="10">
        <f>SALCE[[#This Row],[After_Discount]]+SALCE[[#This Row],[Tax_Value]]</f>
        <v>6088.5119999999997</v>
      </c>
      <c r="O590" s="10">
        <f>SALCE[[#This Row],[Gross_Sales]]*70%</f>
        <v>4480</v>
      </c>
      <c r="P590" s="10">
        <f>SALCE[[#This Row],[Net_Sales]]-SALCE[[#This Row],[Cost_Price]]</f>
        <v>1608.5119999999997</v>
      </c>
      <c r="Q590" s="10">
        <f>SALCE[[#This Row],[Gross_Sales]]-SALCE[[#This Row],[Discount_Value]]</f>
        <v>6080</v>
      </c>
      <c r="R590" s="15" t="s">
        <v>60</v>
      </c>
      <c r="S590" s="15" t="s">
        <v>21</v>
      </c>
      <c r="T590" s="15" t="s">
        <v>22</v>
      </c>
    </row>
    <row r="591" spans="1:20" s="12" customFormat="1" ht="30" customHeight="1" thickTop="1" thickBot="1" x14ac:dyDescent="0.4">
      <c r="A591" s="7">
        <v>1590</v>
      </c>
      <c r="B591" s="8">
        <v>45882</v>
      </c>
      <c r="C591" s="14" t="s">
        <v>17</v>
      </c>
      <c r="D591" s="14" t="s">
        <v>24</v>
      </c>
      <c r="E591" s="14" t="s">
        <v>40</v>
      </c>
      <c r="F591" s="14" t="s">
        <v>20</v>
      </c>
      <c r="G591" s="7">
        <v>3</v>
      </c>
      <c r="H591" s="7">
        <v>800</v>
      </c>
      <c r="I591" s="9">
        <v>15</v>
      </c>
      <c r="J591" s="10">
        <f>SALCE[[#This Row],[After_Discount]]*SALCE[[#This Row],[Tax_%]]/100</f>
        <v>2.8560000000000003</v>
      </c>
      <c r="K591" s="11">
        <v>0.14000000000000001</v>
      </c>
      <c r="L591" s="10">
        <f>SALCE[[#This Row],[Quantity]]*SALCE[[#This Row],[Unit_Price]]</f>
        <v>2400</v>
      </c>
      <c r="M591" s="10">
        <f>SALCE[[#This Row],[Gross_Sales]]*SALCE[[#This Row],[Discount_%]]/100</f>
        <v>360</v>
      </c>
      <c r="N591" s="10">
        <f>SALCE[[#This Row],[After_Discount]]+SALCE[[#This Row],[Tax_Value]]</f>
        <v>2042.856</v>
      </c>
      <c r="O591" s="10">
        <f>SALCE[[#This Row],[Gross_Sales]]*70%</f>
        <v>1680</v>
      </c>
      <c r="P591" s="10">
        <f>SALCE[[#This Row],[Net_Sales]]-SALCE[[#This Row],[Cost_Price]]</f>
        <v>362.85599999999999</v>
      </c>
      <c r="Q591" s="10">
        <f>SALCE[[#This Row],[Gross_Sales]]-SALCE[[#This Row],[Discount_Value]]</f>
        <v>2040</v>
      </c>
      <c r="R591" s="15" t="s">
        <v>59</v>
      </c>
      <c r="S591" s="15" t="s">
        <v>21</v>
      </c>
      <c r="T591" s="15" t="s">
        <v>22</v>
      </c>
    </row>
    <row r="592" spans="1:20" s="12" customFormat="1" ht="30" customHeight="1" thickTop="1" thickBot="1" x14ac:dyDescent="0.4">
      <c r="A592" s="7">
        <v>1591</v>
      </c>
      <c r="B592" s="8">
        <v>45883</v>
      </c>
      <c r="C592" s="14" t="s">
        <v>30</v>
      </c>
      <c r="D592" s="14" t="s">
        <v>18</v>
      </c>
      <c r="E592" s="14" t="s">
        <v>33</v>
      </c>
      <c r="F592" s="14" t="s">
        <v>32</v>
      </c>
      <c r="G592" s="7">
        <v>6</v>
      </c>
      <c r="H592" s="7">
        <v>6000</v>
      </c>
      <c r="I592" s="9">
        <v>0</v>
      </c>
      <c r="J592" s="10">
        <f>SALCE[[#This Row],[After_Discount]]*SALCE[[#This Row],[Tax_%]]/100</f>
        <v>50.400000000000006</v>
      </c>
      <c r="K592" s="11">
        <v>0.14000000000000001</v>
      </c>
      <c r="L592" s="10">
        <f>SALCE[[#This Row],[Quantity]]*SALCE[[#This Row],[Unit_Price]]</f>
        <v>36000</v>
      </c>
      <c r="M592" s="10">
        <f>SALCE[[#This Row],[Gross_Sales]]*SALCE[[#This Row],[Discount_%]]/100</f>
        <v>0</v>
      </c>
      <c r="N592" s="10">
        <f>SALCE[[#This Row],[After_Discount]]+SALCE[[#This Row],[Tax_Value]]</f>
        <v>36050.400000000001</v>
      </c>
      <c r="O592" s="10">
        <f>SALCE[[#This Row],[Gross_Sales]]*70%</f>
        <v>25200</v>
      </c>
      <c r="P592" s="10">
        <f>SALCE[[#This Row],[Net_Sales]]-SALCE[[#This Row],[Cost_Price]]</f>
        <v>10850.400000000001</v>
      </c>
      <c r="Q592" s="10">
        <f>SALCE[[#This Row],[Gross_Sales]]-SALCE[[#This Row],[Discount_Value]]</f>
        <v>36000</v>
      </c>
      <c r="R592" s="15" t="s">
        <v>49</v>
      </c>
      <c r="S592" s="15" t="s">
        <v>26</v>
      </c>
      <c r="T592" s="15" t="s">
        <v>27</v>
      </c>
    </row>
    <row r="593" spans="1:20" s="12" customFormat="1" ht="30" customHeight="1" thickTop="1" thickBot="1" x14ac:dyDescent="0.4">
      <c r="A593" s="7">
        <v>1592</v>
      </c>
      <c r="B593" s="8">
        <v>45884</v>
      </c>
      <c r="C593" s="14" t="s">
        <v>39</v>
      </c>
      <c r="D593" s="14" t="s">
        <v>38</v>
      </c>
      <c r="E593" s="14" t="s">
        <v>19</v>
      </c>
      <c r="F593" s="14" t="s">
        <v>20</v>
      </c>
      <c r="G593" s="7">
        <v>3</v>
      </c>
      <c r="H593" s="7">
        <v>300</v>
      </c>
      <c r="I593" s="9">
        <v>5</v>
      </c>
      <c r="J593" s="10">
        <f>SALCE[[#This Row],[After_Discount]]*SALCE[[#This Row],[Tax_%]]/100</f>
        <v>1.1970000000000001</v>
      </c>
      <c r="K593" s="11">
        <v>0.14000000000000001</v>
      </c>
      <c r="L593" s="10">
        <f>SALCE[[#This Row],[Quantity]]*SALCE[[#This Row],[Unit_Price]]</f>
        <v>900</v>
      </c>
      <c r="M593" s="10">
        <f>SALCE[[#This Row],[Gross_Sales]]*SALCE[[#This Row],[Discount_%]]/100</f>
        <v>45</v>
      </c>
      <c r="N593" s="10">
        <f>SALCE[[#This Row],[After_Discount]]+SALCE[[#This Row],[Tax_Value]]</f>
        <v>856.197</v>
      </c>
      <c r="O593" s="10">
        <f>SALCE[[#This Row],[Gross_Sales]]*70%</f>
        <v>630</v>
      </c>
      <c r="P593" s="10">
        <f>SALCE[[#This Row],[Net_Sales]]-SALCE[[#This Row],[Cost_Price]]</f>
        <v>226.197</v>
      </c>
      <c r="Q593" s="10">
        <f>SALCE[[#This Row],[Gross_Sales]]-SALCE[[#This Row],[Discount_Value]]</f>
        <v>855</v>
      </c>
      <c r="R593" s="15" t="s">
        <v>51</v>
      </c>
      <c r="S593" s="15" t="s">
        <v>21</v>
      </c>
      <c r="T593" s="15" t="s">
        <v>22</v>
      </c>
    </row>
    <row r="594" spans="1:20" s="12" customFormat="1" ht="30" customHeight="1" thickTop="1" thickBot="1" x14ac:dyDescent="0.4">
      <c r="A594" s="7">
        <v>1593</v>
      </c>
      <c r="B594" s="8">
        <v>45885</v>
      </c>
      <c r="C594" s="14" t="s">
        <v>23</v>
      </c>
      <c r="D594" s="14" t="s">
        <v>18</v>
      </c>
      <c r="E594" s="14" t="s">
        <v>25</v>
      </c>
      <c r="F594" s="14" t="s">
        <v>20</v>
      </c>
      <c r="G594" s="7">
        <v>4</v>
      </c>
      <c r="H594" s="7">
        <v>500</v>
      </c>
      <c r="I594" s="9">
        <v>10</v>
      </c>
      <c r="J594" s="10">
        <f>SALCE[[#This Row],[After_Discount]]*SALCE[[#This Row],[Tax_%]]/100</f>
        <v>2.5200000000000005</v>
      </c>
      <c r="K594" s="11">
        <v>0.14000000000000001</v>
      </c>
      <c r="L594" s="10">
        <f>SALCE[[#This Row],[Quantity]]*SALCE[[#This Row],[Unit_Price]]</f>
        <v>2000</v>
      </c>
      <c r="M594" s="10">
        <f>SALCE[[#This Row],[Gross_Sales]]*SALCE[[#This Row],[Discount_%]]/100</f>
        <v>200</v>
      </c>
      <c r="N594" s="10">
        <f>SALCE[[#This Row],[After_Discount]]+SALCE[[#This Row],[Tax_Value]]</f>
        <v>1802.52</v>
      </c>
      <c r="O594" s="10">
        <f>SALCE[[#This Row],[Gross_Sales]]*70%</f>
        <v>1400</v>
      </c>
      <c r="P594" s="10">
        <f>SALCE[[#This Row],[Net_Sales]]-SALCE[[#This Row],[Cost_Price]]</f>
        <v>402.52</v>
      </c>
      <c r="Q594" s="10">
        <f>SALCE[[#This Row],[Gross_Sales]]-SALCE[[#This Row],[Discount_Value]]</f>
        <v>1800</v>
      </c>
      <c r="R594" s="15" t="s">
        <v>57</v>
      </c>
      <c r="S594" s="15" t="s">
        <v>21</v>
      </c>
      <c r="T594" s="15" t="s">
        <v>27</v>
      </c>
    </row>
    <row r="595" spans="1:20" s="12" customFormat="1" ht="30" customHeight="1" thickTop="1" thickBot="1" x14ac:dyDescent="0.4">
      <c r="A595" s="7">
        <v>1594</v>
      </c>
      <c r="B595" s="8">
        <v>45886</v>
      </c>
      <c r="C595" s="14" t="s">
        <v>28</v>
      </c>
      <c r="D595" s="14" t="s">
        <v>18</v>
      </c>
      <c r="E595" s="14" t="s">
        <v>40</v>
      </c>
      <c r="F595" s="14" t="s">
        <v>20</v>
      </c>
      <c r="G595" s="7">
        <v>4</v>
      </c>
      <c r="H595" s="7">
        <v>800</v>
      </c>
      <c r="I595" s="9">
        <v>10</v>
      </c>
      <c r="J595" s="10">
        <f>SALCE[[#This Row],[After_Discount]]*SALCE[[#This Row],[Tax_%]]/100</f>
        <v>4.032</v>
      </c>
      <c r="K595" s="11">
        <v>0.14000000000000001</v>
      </c>
      <c r="L595" s="10">
        <f>SALCE[[#This Row],[Quantity]]*SALCE[[#This Row],[Unit_Price]]</f>
        <v>3200</v>
      </c>
      <c r="M595" s="10">
        <f>SALCE[[#This Row],[Gross_Sales]]*SALCE[[#This Row],[Discount_%]]/100</f>
        <v>320</v>
      </c>
      <c r="N595" s="10">
        <f>SALCE[[#This Row],[After_Discount]]+SALCE[[#This Row],[Tax_Value]]</f>
        <v>2884.0320000000002</v>
      </c>
      <c r="O595" s="10">
        <f>SALCE[[#This Row],[Gross_Sales]]*70%</f>
        <v>2240</v>
      </c>
      <c r="P595" s="10">
        <f>SALCE[[#This Row],[Net_Sales]]-SALCE[[#This Row],[Cost_Price]]</f>
        <v>644.03200000000015</v>
      </c>
      <c r="Q595" s="10">
        <f>SALCE[[#This Row],[Gross_Sales]]-SALCE[[#This Row],[Discount_Value]]</f>
        <v>2880</v>
      </c>
      <c r="R595" s="15" t="s">
        <v>47</v>
      </c>
      <c r="S595" s="15" t="s">
        <v>26</v>
      </c>
      <c r="T595" s="15" t="s">
        <v>27</v>
      </c>
    </row>
    <row r="596" spans="1:20" s="12" customFormat="1" ht="30" customHeight="1" thickTop="1" thickBot="1" x14ac:dyDescent="0.4">
      <c r="A596" s="7">
        <v>1595</v>
      </c>
      <c r="B596" s="8">
        <v>45887</v>
      </c>
      <c r="C596" s="14" t="s">
        <v>23</v>
      </c>
      <c r="D596" s="14" t="s">
        <v>18</v>
      </c>
      <c r="E596" s="14" t="s">
        <v>19</v>
      </c>
      <c r="F596" s="14" t="s">
        <v>20</v>
      </c>
      <c r="G596" s="7">
        <v>1</v>
      </c>
      <c r="H596" s="7">
        <v>300</v>
      </c>
      <c r="I596" s="9">
        <v>0</v>
      </c>
      <c r="J596" s="10">
        <f>SALCE[[#This Row],[After_Discount]]*SALCE[[#This Row],[Tax_%]]/100</f>
        <v>0.4200000000000001</v>
      </c>
      <c r="K596" s="11">
        <v>0.14000000000000001</v>
      </c>
      <c r="L596" s="10">
        <f>SALCE[[#This Row],[Quantity]]*SALCE[[#This Row],[Unit_Price]]</f>
        <v>300</v>
      </c>
      <c r="M596" s="10">
        <f>SALCE[[#This Row],[Gross_Sales]]*SALCE[[#This Row],[Discount_%]]/100</f>
        <v>0</v>
      </c>
      <c r="N596" s="10">
        <f>SALCE[[#This Row],[After_Discount]]+SALCE[[#This Row],[Tax_Value]]</f>
        <v>300.42</v>
      </c>
      <c r="O596" s="10">
        <f>SALCE[[#This Row],[Gross_Sales]]*70%</f>
        <v>210</v>
      </c>
      <c r="P596" s="10">
        <f>SALCE[[#This Row],[Net_Sales]]-SALCE[[#This Row],[Cost_Price]]</f>
        <v>90.420000000000016</v>
      </c>
      <c r="Q596" s="10">
        <f>SALCE[[#This Row],[Gross_Sales]]-SALCE[[#This Row],[Discount_Value]]</f>
        <v>300</v>
      </c>
      <c r="R596" s="15" t="s">
        <v>49</v>
      </c>
      <c r="S596" s="15" t="s">
        <v>37</v>
      </c>
      <c r="T596" s="15" t="s">
        <v>22</v>
      </c>
    </row>
    <row r="597" spans="1:20" s="12" customFormat="1" ht="30" customHeight="1" thickTop="1" thickBot="1" x14ac:dyDescent="0.4">
      <c r="A597" s="7">
        <v>1596</v>
      </c>
      <c r="B597" s="8">
        <v>45888</v>
      </c>
      <c r="C597" s="14" t="s">
        <v>35</v>
      </c>
      <c r="D597" s="14" t="s">
        <v>38</v>
      </c>
      <c r="E597" s="14" t="s">
        <v>25</v>
      </c>
      <c r="F597" s="14" t="s">
        <v>20</v>
      </c>
      <c r="G597" s="7">
        <v>4</v>
      </c>
      <c r="H597" s="7">
        <v>500</v>
      </c>
      <c r="I597" s="9">
        <v>0</v>
      </c>
      <c r="J597" s="10">
        <f>SALCE[[#This Row],[After_Discount]]*SALCE[[#This Row],[Tax_%]]/100</f>
        <v>2.8</v>
      </c>
      <c r="K597" s="11">
        <v>0.14000000000000001</v>
      </c>
      <c r="L597" s="10">
        <f>SALCE[[#This Row],[Quantity]]*SALCE[[#This Row],[Unit_Price]]</f>
        <v>2000</v>
      </c>
      <c r="M597" s="10">
        <f>SALCE[[#This Row],[Gross_Sales]]*SALCE[[#This Row],[Discount_%]]/100</f>
        <v>0</v>
      </c>
      <c r="N597" s="10">
        <f>SALCE[[#This Row],[After_Discount]]+SALCE[[#This Row],[Tax_Value]]</f>
        <v>2002.8</v>
      </c>
      <c r="O597" s="10">
        <f>SALCE[[#This Row],[Gross_Sales]]*70%</f>
        <v>1400</v>
      </c>
      <c r="P597" s="10">
        <f>SALCE[[#This Row],[Net_Sales]]-SALCE[[#This Row],[Cost_Price]]</f>
        <v>602.79999999999995</v>
      </c>
      <c r="Q597" s="10">
        <f>SALCE[[#This Row],[Gross_Sales]]-SALCE[[#This Row],[Discount_Value]]</f>
        <v>2000</v>
      </c>
      <c r="R597" s="15" t="s">
        <v>56</v>
      </c>
      <c r="S597" s="15" t="s">
        <v>37</v>
      </c>
      <c r="T597" s="15" t="s">
        <v>27</v>
      </c>
    </row>
    <row r="598" spans="1:20" s="12" customFormat="1" ht="30" customHeight="1" thickTop="1" thickBot="1" x14ac:dyDescent="0.4">
      <c r="A598" s="7">
        <v>1597</v>
      </c>
      <c r="B598" s="8">
        <v>45889</v>
      </c>
      <c r="C598" s="14" t="s">
        <v>39</v>
      </c>
      <c r="D598" s="14" t="s">
        <v>38</v>
      </c>
      <c r="E598" s="14" t="s">
        <v>19</v>
      </c>
      <c r="F598" s="14" t="s">
        <v>20</v>
      </c>
      <c r="G598" s="7">
        <v>8</v>
      </c>
      <c r="H598" s="7">
        <v>300</v>
      </c>
      <c r="I598" s="9">
        <v>15</v>
      </c>
      <c r="J598" s="10">
        <f>SALCE[[#This Row],[After_Discount]]*SALCE[[#This Row],[Tax_%]]/100</f>
        <v>2.8560000000000003</v>
      </c>
      <c r="K598" s="11">
        <v>0.14000000000000001</v>
      </c>
      <c r="L598" s="10">
        <f>SALCE[[#This Row],[Quantity]]*SALCE[[#This Row],[Unit_Price]]</f>
        <v>2400</v>
      </c>
      <c r="M598" s="10">
        <f>SALCE[[#This Row],[Gross_Sales]]*SALCE[[#This Row],[Discount_%]]/100</f>
        <v>360</v>
      </c>
      <c r="N598" s="10">
        <f>SALCE[[#This Row],[After_Discount]]+SALCE[[#This Row],[Tax_Value]]</f>
        <v>2042.856</v>
      </c>
      <c r="O598" s="10">
        <f>SALCE[[#This Row],[Gross_Sales]]*70%</f>
        <v>1680</v>
      </c>
      <c r="P598" s="10">
        <f>SALCE[[#This Row],[Net_Sales]]-SALCE[[#This Row],[Cost_Price]]</f>
        <v>362.85599999999999</v>
      </c>
      <c r="Q598" s="10">
        <f>SALCE[[#This Row],[Gross_Sales]]-SALCE[[#This Row],[Discount_Value]]</f>
        <v>2040</v>
      </c>
      <c r="R598" s="15" t="s">
        <v>62</v>
      </c>
      <c r="S598" s="15" t="s">
        <v>37</v>
      </c>
      <c r="T598" s="15" t="s">
        <v>22</v>
      </c>
    </row>
    <row r="599" spans="1:20" s="12" customFormat="1" ht="30" customHeight="1" thickTop="1" thickBot="1" x14ac:dyDescent="0.4">
      <c r="A599" s="7">
        <v>1598</v>
      </c>
      <c r="B599" s="8">
        <v>45890</v>
      </c>
      <c r="C599" s="14" t="s">
        <v>23</v>
      </c>
      <c r="D599" s="14" t="s">
        <v>38</v>
      </c>
      <c r="E599" s="14" t="s">
        <v>34</v>
      </c>
      <c r="F599" s="14" t="s">
        <v>32</v>
      </c>
      <c r="G599" s="7">
        <v>3</v>
      </c>
      <c r="H599" s="7">
        <v>4000</v>
      </c>
      <c r="I599" s="9">
        <v>15</v>
      </c>
      <c r="J599" s="10">
        <f>SALCE[[#This Row],[After_Discount]]*SALCE[[#This Row],[Tax_%]]/100</f>
        <v>14.280000000000003</v>
      </c>
      <c r="K599" s="11">
        <v>0.14000000000000001</v>
      </c>
      <c r="L599" s="10">
        <f>SALCE[[#This Row],[Quantity]]*SALCE[[#This Row],[Unit_Price]]</f>
        <v>12000</v>
      </c>
      <c r="M599" s="10">
        <f>SALCE[[#This Row],[Gross_Sales]]*SALCE[[#This Row],[Discount_%]]/100</f>
        <v>1800</v>
      </c>
      <c r="N599" s="10">
        <f>SALCE[[#This Row],[After_Discount]]+SALCE[[#This Row],[Tax_Value]]</f>
        <v>10214.280000000001</v>
      </c>
      <c r="O599" s="10">
        <f>SALCE[[#This Row],[Gross_Sales]]*70%</f>
        <v>8400</v>
      </c>
      <c r="P599" s="10">
        <f>SALCE[[#This Row],[Net_Sales]]-SALCE[[#This Row],[Cost_Price]]</f>
        <v>1814.2800000000007</v>
      </c>
      <c r="Q599" s="10">
        <f>SALCE[[#This Row],[Gross_Sales]]-SALCE[[#This Row],[Discount_Value]]</f>
        <v>10200</v>
      </c>
      <c r="R599" s="15" t="s">
        <v>49</v>
      </c>
      <c r="S599" s="15" t="s">
        <v>26</v>
      </c>
      <c r="T599" s="15" t="s">
        <v>22</v>
      </c>
    </row>
    <row r="600" spans="1:20" s="12" customFormat="1" ht="30" customHeight="1" thickTop="1" thickBot="1" x14ac:dyDescent="0.4">
      <c r="A600" s="7">
        <v>1599</v>
      </c>
      <c r="B600" s="8">
        <v>45891</v>
      </c>
      <c r="C600" s="14" t="s">
        <v>39</v>
      </c>
      <c r="D600" s="14" t="s">
        <v>29</v>
      </c>
      <c r="E600" s="14" t="s">
        <v>33</v>
      </c>
      <c r="F600" s="14" t="s">
        <v>32</v>
      </c>
      <c r="G600" s="7">
        <v>10</v>
      </c>
      <c r="H600" s="7">
        <v>6000</v>
      </c>
      <c r="I600" s="9">
        <v>10</v>
      </c>
      <c r="J600" s="10">
        <f>SALCE[[#This Row],[After_Discount]]*SALCE[[#This Row],[Tax_%]]/100</f>
        <v>75.600000000000009</v>
      </c>
      <c r="K600" s="11">
        <v>0.14000000000000001</v>
      </c>
      <c r="L600" s="10">
        <f>SALCE[[#This Row],[Quantity]]*SALCE[[#This Row],[Unit_Price]]</f>
        <v>60000</v>
      </c>
      <c r="M600" s="10">
        <f>SALCE[[#This Row],[Gross_Sales]]*SALCE[[#This Row],[Discount_%]]/100</f>
        <v>6000</v>
      </c>
      <c r="N600" s="10">
        <f>SALCE[[#This Row],[After_Discount]]+SALCE[[#This Row],[Tax_Value]]</f>
        <v>54075.6</v>
      </c>
      <c r="O600" s="10">
        <f>SALCE[[#This Row],[Gross_Sales]]*70%</f>
        <v>42000</v>
      </c>
      <c r="P600" s="10">
        <f>SALCE[[#This Row],[Net_Sales]]-SALCE[[#This Row],[Cost_Price]]</f>
        <v>12075.599999999999</v>
      </c>
      <c r="Q600" s="10">
        <f>SALCE[[#This Row],[Gross_Sales]]-SALCE[[#This Row],[Discount_Value]]</f>
        <v>54000</v>
      </c>
      <c r="R600" s="15" t="s">
        <v>47</v>
      </c>
      <c r="S600" s="15" t="s">
        <v>37</v>
      </c>
      <c r="T600" s="15" t="s">
        <v>22</v>
      </c>
    </row>
    <row r="601" spans="1:20" s="12" customFormat="1" ht="30" customHeight="1" thickTop="1" thickBot="1" x14ac:dyDescent="0.4">
      <c r="A601" s="7">
        <v>1600</v>
      </c>
      <c r="B601" s="8">
        <v>45892</v>
      </c>
      <c r="C601" s="14" t="s">
        <v>17</v>
      </c>
      <c r="D601" s="14" t="s">
        <v>38</v>
      </c>
      <c r="E601" s="14" t="s">
        <v>40</v>
      </c>
      <c r="F601" s="14" t="s">
        <v>20</v>
      </c>
      <c r="G601" s="7">
        <v>3</v>
      </c>
      <c r="H601" s="7">
        <v>800</v>
      </c>
      <c r="I601" s="9">
        <v>10</v>
      </c>
      <c r="J601" s="10">
        <f>SALCE[[#This Row],[After_Discount]]*SALCE[[#This Row],[Tax_%]]/100</f>
        <v>3.0240000000000005</v>
      </c>
      <c r="K601" s="11">
        <v>0.14000000000000001</v>
      </c>
      <c r="L601" s="10">
        <f>SALCE[[#This Row],[Quantity]]*SALCE[[#This Row],[Unit_Price]]</f>
        <v>2400</v>
      </c>
      <c r="M601" s="10">
        <f>SALCE[[#This Row],[Gross_Sales]]*SALCE[[#This Row],[Discount_%]]/100</f>
        <v>240</v>
      </c>
      <c r="N601" s="10">
        <f>SALCE[[#This Row],[After_Discount]]+SALCE[[#This Row],[Tax_Value]]</f>
        <v>2163.0239999999999</v>
      </c>
      <c r="O601" s="10">
        <f>SALCE[[#This Row],[Gross_Sales]]*70%</f>
        <v>1680</v>
      </c>
      <c r="P601" s="10">
        <f>SALCE[[#This Row],[Net_Sales]]-SALCE[[#This Row],[Cost_Price]]</f>
        <v>483.02399999999989</v>
      </c>
      <c r="Q601" s="10">
        <f>SALCE[[#This Row],[Gross_Sales]]-SALCE[[#This Row],[Discount_Value]]</f>
        <v>2160</v>
      </c>
      <c r="R601" s="15" t="s">
        <v>60</v>
      </c>
      <c r="S601" s="15" t="s">
        <v>26</v>
      </c>
      <c r="T601" s="15" t="s">
        <v>27</v>
      </c>
    </row>
    <row r="602" spans="1:20" s="12" customFormat="1" ht="30" customHeight="1" thickTop="1" thickBot="1" x14ac:dyDescent="0.4">
      <c r="A602" s="7">
        <v>1601</v>
      </c>
      <c r="B602" s="8">
        <v>45893</v>
      </c>
      <c r="C602" s="14" t="s">
        <v>35</v>
      </c>
      <c r="D602" s="14" t="s">
        <v>38</v>
      </c>
      <c r="E602" s="14" t="s">
        <v>40</v>
      </c>
      <c r="F602" s="14" t="s">
        <v>20</v>
      </c>
      <c r="G602" s="7">
        <v>2</v>
      </c>
      <c r="H602" s="7">
        <v>800</v>
      </c>
      <c r="I602" s="9">
        <v>0</v>
      </c>
      <c r="J602" s="10">
        <f>SALCE[[#This Row],[After_Discount]]*SALCE[[#This Row],[Tax_%]]/100</f>
        <v>2.2400000000000002</v>
      </c>
      <c r="K602" s="11">
        <v>0.14000000000000001</v>
      </c>
      <c r="L602" s="10">
        <f>SALCE[[#This Row],[Quantity]]*SALCE[[#This Row],[Unit_Price]]</f>
        <v>1600</v>
      </c>
      <c r="M602" s="10">
        <f>SALCE[[#This Row],[Gross_Sales]]*SALCE[[#This Row],[Discount_%]]/100</f>
        <v>0</v>
      </c>
      <c r="N602" s="10">
        <f>SALCE[[#This Row],[After_Discount]]+SALCE[[#This Row],[Tax_Value]]</f>
        <v>1602.24</v>
      </c>
      <c r="O602" s="10">
        <f>SALCE[[#This Row],[Gross_Sales]]*70%</f>
        <v>1120</v>
      </c>
      <c r="P602" s="10">
        <f>SALCE[[#This Row],[Net_Sales]]-SALCE[[#This Row],[Cost_Price]]</f>
        <v>482.24</v>
      </c>
      <c r="Q602" s="10">
        <f>SALCE[[#This Row],[Gross_Sales]]-SALCE[[#This Row],[Discount_Value]]</f>
        <v>1600</v>
      </c>
      <c r="R602" s="15" t="s">
        <v>53</v>
      </c>
      <c r="S602" s="15" t="s">
        <v>21</v>
      </c>
      <c r="T602" s="15" t="s">
        <v>27</v>
      </c>
    </row>
    <row r="603" spans="1:20" s="12" customFormat="1" ht="30" customHeight="1" thickTop="1" thickBot="1" x14ac:dyDescent="0.4">
      <c r="A603" s="7">
        <v>1602</v>
      </c>
      <c r="B603" s="8">
        <v>45894</v>
      </c>
      <c r="C603" s="14" t="s">
        <v>39</v>
      </c>
      <c r="D603" s="14" t="s">
        <v>36</v>
      </c>
      <c r="E603" s="14" t="s">
        <v>33</v>
      </c>
      <c r="F603" s="14" t="s">
        <v>32</v>
      </c>
      <c r="G603" s="7">
        <v>8</v>
      </c>
      <c r="H603" s="7">
        <v>6000</v>
      </c>
      <c r="I603" s="9">
        <v>5</v>
      </c>
      <c r="J603" s="10">
        <f>SALCE[[#This Row],[After_Discount]]*SALCE[[#This Row],[Tax_%]]/100</f>
        <v>63.840000000000011</v>
      </c>
      <c r="K603" s="11">
        <v>0.14000000000000001</v>
      </c>
      <c r="L603" s="10">
        <f>SALCE[[#This Row],[Quantity]]*SALCE[[#This Row],[Unit_Price]]</f>
        <v>48000</v>
      </c>
      <c r="M603" s="10">
        <f>SALCE[[#This Row],[Gross_Sales]]*SALCE[[#This Row],[Discount_%]]/100</f>
        <v>2400</v>
      </c>
      <c r="N603" s="10">
        <f>SALCE[[#This Row],[After_Discount]]+SALCE[[#This Row],[Tax_Value]]</f>
        <v>45663.839999999997</v>
      </c>
      <c r="O603" s="10">
        <f>SALCE[[#This Row],[Gross_Sales]]*70%</f>
        <v>33600</v>
      </c>
      <c r="P603" s="10">
        <f>SALCE[[#This Row],[Net_Sales]]-SALCE[[#This Row],[Cost_Price]]</f>
        <v>12063.839999999997</v>
      </c>
      <c r="Q603" s="10">
        <f>SALCE[[#This Row],[Gross_Sales]]-SALCE[[#This Row],[Discount_Value]]</f>
        <v>45600</v>
      </c>
      <c r="R603" s="15" t="s">
        <v>49</v>
      </c>
      <c r="S603" s="15" t="s">
        <v>37</v>
      </c>
      <c r="T603" s="15" t="s">
        <v>27</v>
      </c>
    </row>
    <row r="604" spans="1:20" s="12" customFormat="1" ht="30" customHeight="1" thickTop="1" thickBot="1" x14ac:dyDescent="0.4">
      <c r="A604" s="7">
        <v>1603</v>
      </c>
      <c r="B604" s="8">
        <v>45895</v>
      </c>
      <c r="C604" s="14" t="s">
        <v>17</v>
      </c>
      <c r="D604" s="14" t="s">
        <v>41</v>
      </c>
      <c r="E604" s="14" t="s">
        <v>19</v>
      </c>
      <c r="F604" s="14" t="s">
        <v>20</v>
      </c>
      <c r="G604" s="7">
        <v>3</v>
      </c>
      <c r="H604" s="7">
        <v>300</v>
      </c>
      <c r="I604" s="9">
        <v>5</v>
      </c>
      <c r="J604" s="10">
        <f>SALCE[[#This Row],[After_Discount]]*SALCE[[#This Row],[Tax_%]]/100</f>
        <v>1.1970000000000001</v>
      </c>
      <c r="K604" s="11">
        <v>0.14000000000000001</v>
      </c>
      <c r="L604" s="10">
        <f>SALCE[[#This Row],[Quantity]]*SALCE[[#This Row],[Unit_Price]]</f>
        <v>900</v>
      </c>
      <c r="M604" s="10">
        <f>SALCE[[#This Row],[Gross_Sales]]*SALCE[[#This Row],[Discount_%]]/100</f>
        <v>45</v>
      </c>
      <c r="N604" s="10">
        <f>SALCE[[#This Row],[After_Discount]]+SALCE[[#This Row],[Tax_Value]]</f>
        <v>856.197</v>
      </c>
      <c r="O604" s="10">
        <f>SALCE[[#This Row],[Gross_Sales]]*70%</f>
        <v>630</v>
      </c>
      <c r="P604" s="10">
        <f>SALCE[[#This Row],[Net_Sales]]-SALCE[[#This Row],[Cost_Price]]</f>
        <v>226.197</v>
      </c>
      <c r="Q604" s="10">
        <f>SALCE[[#This Row],[Gross_Sales]]-SALCE[[#This Row],[Discount_Value]]</f>
        <v>855</v>
      </c>
      <c r="R604" s="15" t="s">
        <v>62</v>
      </c>
      <c r="S604" s="15" t="s">
        <v>21</v>
      </c>
      <c r="T604" s="15" t="s">
        <v>22</v>
      </c>
    </row>
    <row r="605" spans="1:20" s="12" customFormat="1" ht="30" customHeight="1" thickTop="1" thickBot="1" x14ac:dyDescent="0.4">
      <c r="A605" s="7">
        <v>1604</v>
      </c>
      <c r="B605" s="8">
        <v>45896</v>
      </c>
      <c r="C605" s="14" t="s">
        <v>35</v>
      </c>
      <c r="D605" s="14" t="s">
        <v>29</v>
      </c>
      <c r="E605" s="14" t="s">
        <v>31</v>
      </c>
      <c r="F605" s="14" t="s">
        <v>32</v>
      </c>
      <c r="G605" s="7">
        <v>2</v>
      </c>
      <c r="H605" s="7">
        <v>15000</v>
      </c>
      <c r="I605" s="9">
        <v>0</v>
      </c>
      <c r="J605" s="10">
        <f>SALCE[[#This Row],[After_Discount]]*SALCE[[#This Row],[Tax_%]]/100</f>
        <v>42</v>
      </c>
      <c r="K605" s="11">
        <v>0.14000000000000001</v>
      </c>
      <c r="L605" s="10">
        <f>SALCE[[#This Row],[Quantity]]*SALCE[[#This Row],[Unit_Price]]</f>
        <v>30000</v>
      </c>
      <c r="M605" s="10">
        <f>SALCE[[#This Row],[Gross_Sales]]*SALCE[[#This Row],[Discount_%]]/100</f>
        <v>0</v>
      </c>
      <c r="N605" s="10">
        <f>SALCE[[#This Row],[After_Discount]]+SALCE[[#This Row],[Tax_Value]]</f>
        <v>30042</v>
      </c>
      <c r="O605" s="10">
        <f>SALCE[[#This Row],[Gross_Sales]]*70%</f>
        <v>21000</v>
      </c>
      <c r="P605" s="10">
        <f>SALCE[[#This Row],[Net_Sales]]-SALCE[[#This Row],[Cost_Price]]</f>
        <v>9042</v>
      </c>
      <c r="Q605" s="10">
        <f>SALCE[[#This Row],[Gross_Sales]]-SALCE[[#This Row],[Discount_Value]]</f>
        <v>30000</v>
      </c>
      <c r="R605" s="15" t="s">
        <v>53</v>
      </c>
      <c r="S605" s="15" t="s">
        <v>21</v>
      </c>
      <c r="T605" s="15" t="s">
        <v>22</v>
      </c>
    </row>
    <row r="606" spans="1:20" s="12" customFormat="1" ht="30" customHeight="1" thickTop="1" thickBot="1" x14ac:dyDescent="0.4">
      <c r="A606" s="7">
        <v>1605</v>
      </c>
      <c r="B606" s="8">
        <v>45897</v>
      </c>
      <c r="C606" s="14" t="s">
        <v>23</v>
      </c>
      <c r="D606" s="14" t="s">
        <v>38</v>
      </c>
      <c r="E606" s="14" t="s">
        <v>25</v>
      </c>
      <c r="F606" s="14" t="s">
        <v>20</v>
      </c>
      <c r="G606" s="7">
        <v>5</v>
      </c>
      <c r="H606" s="7">
        <v>500</v>
      </c>
      <c r="I606" s="9">
        <v>10</v>
      </c>
      <c r="J606" s="10">
        <f>SALCE[[#This Row],[After_Discount]]*SALCE[[#This Row],[Tax_%]]/100</f>
        <v>3.1500000000000004</v>
      </c>
      <c r="K606" s="11">
        <v>0.14000000000000001</v>
      </c>
      <c r="L606" s="10">
        <f>SALCE[[#This Row],[Quantity]]*SALCE[[#This Row],[Unit_Price]]</f>
        <v>2500</v>
      </c>
      <c r="M606" s="10">
        <f>SALCE[[#This Row],[Gross_Sales]]*SALCE[[#This Row],[Discount_%]]/100</f>
        <v>250</v>
      </c>
      <c r="N606" s="10">
        <f>SALCE[[#This Row],[After_Discount]]+SALCE[[#This Row],[Tax_Value]]</f>
        <v>2253.15</v>
      </c>
      <c r="O606" s="10">
        <f>SALCE[[#This Row],[Gross_Sales]]*70%</f>
        <v>1750</v>
      </c>
      <c r="P606" s="10">
        <f>SALCE[[#This Row],[Net_Sales]]-SALCE[[#This Row],[Cost_Price]]</f>
        <v>503.15000000000009</v>
      </c>
      <c r="Q606" s="10">
        <f>SALCE[[#This Row],[Gross_Sales]]-SALCE[[#This Row],[Discount_Value]]</f>
        <v>2250</v>
      </c>
      <c r="R606" s="15" t="s">
        <v>49</v>
      </c>
      <c r="S606" s="15" t="s">
        <v>26</v>
      </c>
      <c r="T606" s="15" t="s">
        <v>27</v>
      </c>
    </row>
    <row r="607" spans="1:20" s="12" customFormat="1" ht="30" customHeight="1" thickTop="1" thickBot="1" x14ac:dyDescent="0.4">
      <c r="A607" s="7">
        <v>1606</v>
      </c>
      <c r="B607" s="8">
        <v>45898</v>
      </c>
      <c r="C607" s="14" t="s">
        <v>23</v>
      </c>
      <c r="D607" s="14" t="s">
        <v>36</v>
      </c>
      <c r="E607" s="14" t="s">
        <v>25</v>
      </c>
      <c r="F607" s="14" t="s">
        <v>20</v>
      </c>
      <c r="G607" s="7">
        <v>9</v>
      </c>
      <c r="H607" s="7">
        <v>500</v>
      </c>
      <c r="I607" s="9">
        <v>0</v>
      </c>
      <c r="J607" s="10">
        <f>SALCE[[#This Row],[After_Discount]]*SALCE[[#This Row],[Tax_%]]/100</f>
        <v>6.3000000000000007</v>
      </c>
      <c r="K607" s="11">
        <v>0.14000000000000001</v>
      </c>
      <c r="L607" s="10">
        <f>SALCE[[#This Row],[Quantity]]*SALCE[[#This Row],[Unit_Price]]</f>
        <v>4500</v>
      </c>
      <c r="M607" s="10">
        <f>SALCE[[#This Row],[Gross_Sales]]*SALCE[[#This Row],[Discount_%]]/100</f>
        <v>0</v>
      </c>
      <c r="N607" s="10">
        <f>SALCE[[#This Row],[After_Discount]]+SALCE[[#This Row],[Tax_Value]]</f>
        <v>4506.3</v>
      </c>
      <c r="O607" s="10">
        <f>SALCE[[#This Row],[Gross_Sales]]*70%</f>
        <v>3150</v>
      </c>
      <c r="P607" s="10">
        <f>SALCE[[#This Row],[Net_Sales]]-SALCE[[#This Row],[Cost_Price]]</f>
        <v>1356.3000000000002</v>
      </c>
      <c r="Q607" s="10">
        <f>SALCE[[#This Row],[Gross_Sales]]-SALCE[[#This Row],[Discount_Value]]</f>
        <v>4500</v>
      </c>
      <c r="R607" s="15" t="s">
        <v>56</v>
      </c>
      <c r="S607" s="15" t="s">
        <v>21</v>
      </c>
      <c r="T607" s="15" t="s">
        <v>27</v>
      </c>
    </row>
    <row r="608" spans="1:20" s="12" customFormat="1" ht="30" customHeight="1" thickTop="1" thickBot="1" x14ac:dyDescent="0.4">
      <c r="A608" s="7">
        <v>1607</v>
      </c>
      <c r="B608" s="8">
        <v>45899</v>
      </c>
      <c r="C608" s="14" t="s">
        <v>30</v>
      </c>
      <c r="D608" s="14" t="s">
        <v>29</v>
      </c>
      <c r="E608" s="14" t="s">
        <v>19</v>
      </c>
      <c r="F608" s="14" t="s">
        <v>20</v>
      </c>
      <c r="G608" s="7">
        <v>6</v>
      </c>
      <c r="H608" s="7">
        <v>300</v>
      </c>
      <c r="I608" s="9">
        <v>10</v>
      </c>
      <c r="J608" s="10">
        <f>SALCE[[#This Row],[After_Discount]]*SALCE[[#This Row],[Tax_%]]/100</f>
        <v>2.2680000000000002</v>
      </c>
      <c r="K608" s="11">
        <v>0.14000000000000001</v>
      </c>
      <c r="L608" s="10">
        <f>SALCE[[#This Row],[Quantity]]*SALCE[[#This Row],[Unit_Price]]</f>
        <v>1800</v>
      </c>
      <c r="M608" s="10">
        <f>SALCE[[#This Row],[Gross_Sales]]*SALCE[[#This Row],[Discount_%]]/100</f>
        <v>180</v>
      </c>
      <c r="N608" s="10">
        <f>SALCE[[#This Row],[After_Discount]]+SALCE[[#This Row],[Tax_Value]]</f>
        <v>1622.268</v>
      </c>
      <c r="O608" s="10">
        <f>SALCE[[#This Row],[Gross_Sales]]*70%</f>
        <v>1260</v>
      </c>
      <c r="P608" s="10">
        <f>SALCE[[#This Row],[Net_Sales]]-SALCE[[#This Row],[Cost_Price]]</f>
        <v>362.26800000000003</v>
      </c>
      <c r="Q608" s="10">
        <f>SALCE[[#This Row],[Gross_Sales]]-SALCE[[#This Row],[Discount_Value]]</f>
        <v>1620</v>
      </c>
      <c r="R608" s="15" t="s">
        <v>52</v>
      </c>
      <c r="S608" s="15" t="s">
        <v>37</v>
      </c>
      <c r="T608" s="15" t="s">
        <v>27</v>
      </c>
    </row>
    <row r="609" spans="1:20" s="12" customFormat="1" ht="30" customHeight="1" thickTop="1" thickBot="1" x14ac:dyDescent="0.4">
      <c r="A609" s="7">
        <v>1608</v>
      </c>
      <c r="B609" s="8">
        <v>45900</v>
      </c>
      <c r="C609" s="14" t="s">
        <v>39</v>
      </c>
      <c r="D609" s="14" t="s">
        <v>18</v>
      </c>
      <c r="E609" s="14" t="s">
        <v>19</v>
      </c>
      <c r="F609" s="14" t="s">
        <v>20</v>
      </c>
      <c r="G609" s="7">
        <v>2</v>
      </c>
      <c r="H609" s="7">
        <v>300</v>
      </c>
      <c r="I609" s="9">
        <v>0</v>
      </c>
      <c r="J609" s="10">
        <f>SALCE[[#This Row],[After_Discount]]*SALCE[[#This Row],[Tax_%]]/100</f>
        <v>0.84000000000000019</v>
      </c>
      <c r="K609" s="11">
        <v>0.14000000000000001</v>
      </c>
      <c r="L609" s="10">
        <f>SALCE[[#This Row],[Quantity]]*SALCE[[#This Row],[Unit_Price]]</f>
        <v>600</v>
      </c>
      <c r="M609" s="10">
        <f>SALCE[[#This Row],[Gross_Sales]]*SALCE[[#This Row],[Discount_%]]/100</f>
        <v>0</v>
      </c>
      <c r="N609" s="10">
        <f>SALCE[[#This Row],[After_Discount]]+SALCE[[#This Row],[Tax_Value]]</f>
        <v>600.84</v>
      </c>
      <c r="O609" s="10">
        <f>SALCE[[#This Row],[Gross_Sales]]*70%</f>
        <v>420</v>
      </c>
      <c r="P609" s="10">
        <f>SALCE[[#This Row],[Net_Sales]]-SALCE[[#This Row],[Cost_Price]]</f>
        <v>180.84000000000003</v>
      </c>
      <c r="Q609" s="10">
        <f>SALCE[[#This Row],[Gross_Sales]]-SALCE[[#This Row],[Discount_Value]]</f>
        <v>600</v>
      </c>
      <c r="R609" s="15" t="s">
        <v>47</v>
      </c>
      <c r="S609" s="15" t="s">
        <v>37</v>
      </c>
      <c r="T609" s="15" t="s">
        <v>22</v>
      </c>
    </row>
    <row r="610" spans="1:20" s="12" customFormat="1" ht="30" customHeight="1" thickTop="1" thickBot="1" x14ac:dyDescent="0.4">
      <c r="A610" s="7">
        <v>1609</v>
      </c>
      <c r="B610" s="8">
        <v>45901</v>
      </c>
      <c r="C610" s="14" t="s">
        <v>30</v>
      </c>
      <c r="D610" s="14" t="s">
        <v>29</v>
      </c>
      <c r="E610" s="14" t="s">
        <v>34</v>
      </c>
      <c r="F610" s="14" t="s">
        <v>32</v>
      </c>
      <c r="G610" s="7">
        <v>2</v>
      </c>
      <c r="H610" s="7">
        <v>4000</v>
      </c>
      <c r="I610" s="9">
        <v>0</v>
      </c>
      <c r="J610" s="10">
        <f>SALCE[[#This Row],[After_Discount]]*SALCE[[#This Row],[Tax_%]]/100</f>
        <v>11.2</v>
      </c>
      <c r="K610" s="11">
        <v>0.14000000000000001</v>
      </c>
      <c r="L610" s="10">
        <f>SALCE[[#This Row],[Quantity]]*SALCE[[#This Row],[Unit_Price]]</f>
        <v>8000</v>
      </c>
      <c r="M610" s="10">
        <f>SALCE[[#This Row],[Gross_Sales]]*SALCE[[#This Row],[Discount_%]]/100</f>
        <v>0</v>
      </c>
      <c r="N610" s="10">
        <f>SALCE[[#This Row],[After_Discount]]+SALCE[[#This Row],[Tax_Value]]</f>
        <v>8011.2</v>
      </c>
      <c r="O610" s="10">
        <f>SALCE[[#This Row],[Gross_Sales]]*70%</f>
        <v>5600</v>
      </c>
      <c r="P610" s="10">
        <f>SALCE[[#This Row],[Net_Sales]]-SALCE[[#This Row],[Cost_Price]]</f>
        <v>2411.1999999999998</v>
      </c>
      <c r="Q610" s="10">
        <f>SALCE[[#This Row],[Gross_Sales]]-SALCE[[#This Row],[Discount_Value]]</f>
        <v>8000</v>
      </c>
      <c r="R610" s="15" t="s">
        <v>47</v>
      </c>
      <c r="S610" s="15" t="s">
        <v>21</v>
      </c>
      <c r="T610" s="15" t="s">
        <v>27</v>
      </c>
    </row>
    <row r="611" spans="1:20" s="12" customFormat="1" ht="30" customHeight="1" thickTop="1" thickBot="1" x14ac:dyDescent="0.4">
      <c r="A611" s="7">
        <v>1610</v>
      </c>
      <c r="B611" s="8">
        <v>45902</v>
      </c>
      <c r="C611" s="14" t="s">
        <v>17</v>
      </c>
      <c r="D611" s="14" t="s">
        <v>18</v>
      </c>
      <c r="E611" s="14" t="s">
        <v>33</v>
      </c>
      <c r="F611" s="14" t="s">
        <v>32</v>
      </c>
      <c r="G611" s="7">
        <v>6</v>
      </c>
      <c r="H611" s="7">
        <v>6000</v>
      </c>
      <c r="I611" s="9">
        <v>0</v>
      </c>
      <c r="J611" s="10">
        <f>SALCE[[#This Row],[After_Discount]]*SALCE[[#This Row],[Tax_%]]/100</f>
        <v>50.400000000000006</v>
      </c>
      <c r="K611" s="11">
        <v>0.14000000000000001</v>
      </c>
      <c r="L611" s="10">
        <f>SALCE[[#This Row],[Quantity]]*SALCE[[#This Row],[Unit_Price]]</f>
        <v>36000</v>
      </c>
      <c r="M611" s="10">
        <f>SALCE[[#This Row],[Gross_Sales]]*SALCE[[#This Row],[Discount_%]]/100</f>
        <v>0</v>
      </c>
      <c r="N611" s="10">
        <f>SALCE[[#This Row],[After_Discount]]+SALCE[[#This Row],[Tax_Value]]</f>
        <v>36050.400000000001</v>
      </c>
      <c r="O611" s="10">
        <f>SALCE[[#This Row],[Gross_Sales]]*70%</f>
        <v>25200</v>
      </c>
      <c r="P611" s="10">
        <f>SALCE[[#This Row],[Net_Sales]]-SALCE[[#This Row],[Cost_Price]]</f>
        <v>10850.400000000001</v>
      </c>
      <c r="Q611" s="10">
        <f>SALCE[[#This Row],[Gross_Sales]]-SALCE[[#This Row],[Discount_Value]]</f>
        <v>36000</v>
      </c>
      <c r="R611" s="15" t="s">
        <v>59</v>
      </c>
      <c r="S611" s="15" t="s">
        <v>21</v>
      </c>
      <c r="T611" s="15" t="s">
        <v>22</v>
      </c>
    </row>
    <row r="612" spans="1:20" s="12" customFormat="1" ht="30" customHeight="1" thickTop="1" thickBot="1" x14ac:dyDescent="0.4">
      <c r="A612" s="7">
        <v>1611</v>
      </c>
      <c r="B612" s="8">
        <v>45903</v>
      </c>
      <c r="C612" s="14" t="s">
        <v>35</v>
      </c>
      <c r="D612" s="14" t="s">
        <v>18</v>
      </c>
      <c r="E612" s="14" t="s">
        <v>34</v>
      </c>
      <c r="F612" s="14" t="s">
        <v>32</v>
      </c>
      <c r="G612" s="7">
        <v>3</v>
      </c>
      <c r="H612" s="7">
        <v>4000</v>
      </c>
      <c r="I612" s="9">
        <v>5</v>
      </c>
      <c r="J612" s="10">
        <f>SALCE[[#This Row],[After_Discount]]*SALCE[[#This Row],[Tax_%]]/100</f>
        <v>15.960000000000003</v>
      </c>
      <c r="K612" s="11">
        <v>0.14000000000000001</v>
      </c>
      <c r="L612" s="10">
        <f>SALCE[[#This Row],[Quantity]]*SALCE[[#This Row],[Unit_Price]]</f>
        <v>12000</v>
      </c>
      <c r="M612" s="10">
        <f>SALCE[[#This Row],[Gross_Sales]]*SALCE[[#This Row],[Discount_%]]/100</f>
        <v>600</v>
      </c>
      <c r="N612" s="10">
        <f>SALCE[[#This Row],[After_Discount]]+SALCE[[#This Row],[Tax_Value]]</f>
        <v>11415.96</v>
      </c>
      <c r="O612" s="10">
        <f>SALCE[[#This Row],[Gross_Sales]]*70%</f>
        <v>8400</v>
      </c>
      <c r="P612" s="10">
        <f>SALCE[[#This Row],[Net_Sales]]-SALCE[[#This Row],[Cost_Price]]</f>
        <v>3015.9599999999991</v>
      </c>
      <c r="Q612" s="10">
        <f>SALCE[[#This Row],[Gross_Sales]]-SALCE[[#This Row],[Discount_Value]]</f>
        <v>11400</v>
      </c>
      <c r="R612" s="15" t="s">
        <v>57</v>
      </c>
      <c r="S612" s="15" t="s">
        <v>26</v>
      </c>
      <c r="T612" s="15" t="s">
        <v>27</v>
      </c>
    </row>
    <row r="613" spans="1:20" s="12" customFormat="1" ht="30" customHeight="1" thickTop="1" thickBot="1" x14ac:dyDescent="0.4">
      <c r="A613" s="7">
        <v>1612</v>
      </c>
      <c r="B613" s="8">
        <v>45904</v>
      </c>
      <c r="C613" s="14" t="s">
        <v>28</v>
      </c>
      <c r="D613" s="14" t="s">
        <v>29</v>
      </c>
      <c r="E613" s="14" t="s">
        <v>34</v>
      </c>
      <c r="F613" s="14" t="s">
        <v>32</v>
      </c>
      <c r="G613" s="7">
        <v>1</v>
      </c>
      <c r="H613" s="7">
        <v>4000</v>
      </c>
      <c r="I613" s="9">
        <v>0</v>
      </c>
      <c r="J613" s="10">
        <f>SALCE[[#This Row],[After_Discount]]*SALCE[[#This Row],[Tax_%]]/100</f>
        <v>5.6</v>
      </c>
      <c r="K613" s="11">
        <v>0.14000000000000001</v>
      </c>
      <c r="L613" s="10">
        <f>SALCE[[#This Row],[Quantity]]*SALCE[[#This Row],[Unit_Price]]</f>
        <v>4000</v>
      </c>
      <c r="M613" s="10">
        <f>SALCE[[#This Row],[Gross_Sales]]*SALCE[[#This Row],[Discount_%]]/100</f>
        <v>0</v>
      </c>
      <c r="N613" s="10">
        <f>SALCE[[#This Row],[After_Discount]]+SALCE[[#This Row],[Tax_Value]]</f>
        <v>4005.6</v>
      </c>
      <c r="O613" s="10">
        <f>SALCE[[#This Row],[Gross_Sales]]*70%</f>
        <v>2800</v>
      </c>
      <c r="P613" s="10">
        <f>SALCE[[#This Row],[Net_Sales]]-SALCE[[#This Row],[Cost_Price]]</f>
        <v>1205.5999999999999</v>
      </c>
      <c r="Q613" s="10">
        <f>SALCE[[#This Row],[Gross_Sales]]-SALCE[[#This Row],[Discount_Value]]</f>
        <v>4000</v>
      </c>
      <c r="R613" s="15" t="s">
        <v>61</v>
      </c>
      <c r="S613" s="15" t="s">
        <v>21</v>
      </c>
      <c r="T613" s="15" t="s">
        <v>22</v>
      </c>
    </row>
    <row r="614" spans="1:20" s="12" customFormat="1" ht="30" customHeight="1" thickTop="1" thickBot="1" x14ac:dyDescent="0.4">
      <c r="A614" s="7">
        <v>1613</v>
      </c>
      <c r="B614" s="8">
        <v>45905</v>
      </c>
      <c r="C614" s="14" t="s">
        <v>17</v>
      </c>
      <c r="D614" s="14" t="s">
        <v>38</v>
      </c>
      <c r="E614" s="14" t="s">
        <v>34</v>
      </c>
      <c r="F614" s="14" t="s">
        <v>32</v>
      </c>
      <c r="G614" s="7">
        <v>9</v>
      </c>
      <c r="H614" s="7">
        <v>4000</v>
      </c>
      <c r="I614" s="9">
        <v>15</v>
      </c>
      <c r="J614" s="10">
        <f>SALCE[[#This Row],[After_Discount]]*SALCE[[#This Row],[Tax_%]]/100</f>
        <v>42.84</v>
      </c>
      <c r="K614" s="11">
        <v>0.14000000000000001</v>
      </c>
      <c r="L614" s="10">
        <f>SALCE[[#This Row],[Quantity]]*SALCE[[#This Row],[Unit_Price]]</f>
        <v>36000</v>
      </c>
      <c r="M614" s="10">
        <f>SALCE[[#This Row],[Gross_Sales]]*SALCE[[#This Row],[Discount_%]]/100</f>
        <v>5400</v>
      </c>
      <c r="N614" s="10">
        <f>SALCE[[#This Row],[After_Discount]]+SALCE[[#This Row],[Tax_Value]]</f>
        <v>30642.84</v>
      </c>
      <c r="O614" s="10">
        <f>SALCE[[#This Row],[Gross_Sales]]*70%</f>
        <v>25200</v>
      </c>
      <c r="P614" s="10">
        <f>SALCE[[#This Row],[Net_Sales]]-SALCE[[#This Row],[Cost_Price]]</f>
        <v>5442.84</v>
      </c>
      <c r="Q614" s="10">
        <f>SALCE[[#This Row],[Gross_Sales]]-SALCE[[#This Row],[Discount_Value]]</f>
        <v>30600</v>
      </c>
      <c r="R614" s="15" t="s">
        <v>57</v>
      </c>
      <c r="S614" s="15" t="s">
        <v>26</v>
      </c>
      <c r="T614" s="15" t="s">
        <v>22</v>
      </c>
    </row>
    <row r="615" spans="1:20" s="12" customFormat="1" ht="30" customHeight="1" thickTop="1" thickBot="1" x14ac:dyDescent="0.4">
      <c r="A615" s="7">
        <v>1614</v>
      </c>
      <c r="B615" s="8">
        <v>45906</v>
      </c>
      <c r="C615" s="14" t="s">
        <v>30</v>
      </c>
      <c r="D615" s="14" t="s">
        <v>36</v>
      </c>
      <c r="E615" s="14" t="s">
        <v>40</v>
      </c>
      <c r="F615" s="14" t="s">
        <v>20</v>
      </c>
      <c r="G615" s="7">
        <v>8</v>
      </c>
      <c r="H615" s="7">
        <v>800</v>
      </c>
      <c r="I615" s="9">
        <v>0</v>
      </c>
      <c r="J615" s="10">
        <f>SALCE[[#This Row],[After_Discount]]*SALCE[[#This Row],[Tax_%]]/100</f>
        <v>8.9600000000000009</v>
      </c>
      <c r="K615" s="11">
        <v>0.14000000000000001</v>
      </c>
      <c r="L615" s="10">
        <f>SALCE[[#This Row],[Quantity]]*SALCE[[#This Row],[Unit_Price]]</f>
        <v>6400</v>
      </c>
      <c r="M615" s="10">
        <f>SALCE[[#This Row],[Gross_Sales]]*SALCE[[#This Row],[Discount_%]]/100</f>
        <v>0</v>
      </c>
      <c r="N615" s="10">
        <f>SALCE[[#This Row],[After_Discount]]+SALCE[[#This Row],[Tax_Value]]</f>
        <v>6408.96</v>
      </c>
      <c r="O615" s="10">
        <f>SALCE[[#This Row],[Gross_Sales]]*70%</f>
        <v>4480</v>
      </c>
      <c r="P615" s="10">
        <f>SALCE[[#This Row],[Net_Sales]]-SALCE[[#This Row],[Cost_Price]]</f>
        <v>1928.96</v>
      </c>
      <c r="Q615" s="10">
        <f>SALCE[[#This Row],[Gross_Sales]]-SALCE[[#This Row],[Discount_Value]]</f>
        <v>6400</v>
      </c>
      <c r="R615" s="15" t="s">
        <v>51</v>
      </c>
      <c r="S615" s="15" t="s">
        <v>37</v>
      </c>
      <c r="T615" s="15" t="s">
        <v>27</v>
      </c>
    </row>
    <row r="616" spans="1:20" s="12" customFormat="1" ht="30" customHeight="1" thickTop="1" thickBot="1" x14ac:dyDescent="0.4">
      <c r="A616" s="7">
        <v>1615</v>
      </c>
      <c r="B616" s="8">
        <v>45907</v>
      </c>
      <c r="C616" s="14" t="s">
        <v>39</v>
      </c>
      <c r="D616" s="14" t="s">
        <v>36</v>
      </c>
      <c r="E616" s="14" t="s">
        <v>31</v>
      </c>
      <c r="F616" s="14" t="s">
        <v>32</v>
      </c>
      <c r="G616" s="7">
        <v>3</v>
      </c>
      <c r="H616" s="7">
        <v>15000</v>
      </c>
      <c r="I616" s="9">
        <v>0</v>
      </c>
      <c r="J616" s="10">
        <f>SALCE[[#This Row],[After_Discount]]*SALCE[[#This Row],[Tax_%]]/100</f>
        <v>63.000000000000007</v>
      </c>
      <c r="K616" s="11">
        <v>0.14000000000000001</v>
      </c>
      <c r="L616" s="10">
        <f>SALCE[[#This Row],[Quantity]]*SALCE[[#This Row],[Unit_Price]]</f>
        <v>45000</v>
      </c>
      <c r="M616" s="10">
        <f>SALCE[[#This Row],[Gross_Sales]]*SALCE[[#This Row],[Discount_%]]/100</f>
        <v>0</v>
      </c>
      <c r="N616" s="10">
        <f>SALCE[[#This Row],[After_Discount]]+SALCE[[#This Row],[Tax_Value]]</f>
        <v>45063</v>
      </c>
      <c r="O616" s="10">
        <f>SALCE[[#This Row],[Gross_Sales]]*70%</f>
        <v>31499.999999999996</v>
      </c>
      <c r="P616" s="10">
        <f>SALCE[[#This Row],[Net_Sales]]-SALCE[[#This Row],[Cost_Price]]</f>
        <v>13563.000000000004</v>
      </c>
      <c r="Q616" s="10">
        <f>SALCE[[#This Row],[Gross_Sales]]-SALCE[[#This Row],[Discount_Value]]</f>
        <v>45000</v>
      </c>
      <c r="R616" s="15" t="s">
        <v>56</v>
      </c>
      <c r="S616" s="15" t="s">
        <v>21</v>
      </c>
      <c r="T616" s="15" t="s">
        <v>22</v>
      </c>
    </row>
    <row r="617" spans="1:20" s="12" customFormat="1" ht="30" customHeight="1" thickTop="1" thickBot="1" x14ac:dyDescent="0.4">
      <c r="A617" s="7">
        <v>1616</v>
      </c>
      <c r="B617" s="8">
        <v>45908</v>
      </c>
      <c r="C617" s="14" t="s">
        <v>28</v>
      </c>
      <c r="D617" s="14" t="s">
        <v>24</v>
      </c>
      <c r="E617" s="14" t="s">
        <v>31</v>
      </c>
      <c r="F617" s="14" t="s">
        <v>32</v>
      </c>
      <c r="G617" s="7">
        <v>1</v>
      </c>
      <c r="H617" s="7">
        <v>15000</v>
      </c>
      <c r="I617" s="9">
        <v>15</v>
      </c>
      <c r="J617" s="10">
        <f>SALCE[[#This Row],[After_Discount]]*SALCE[[#This Row],[Tax_%]]/100</f>
        <v>17.850000000000001</v>
      </c>
      <c r="K617" s="11">
        <v>0.14000000000000001</v>
      </c>
      <c r="L617" s="10">
        <f>SALCE[[#This Row],[Quantity]]*SALCE[[#This Row],[Unit_Price]]</f>
        <v>15000</v>
      </c>
      <c r="M617" s="10">
        <f>SALCE[[#This Row],[Gross_Sales]]*SALCE[[#This Row],[Discount_%]]/100</f>
        <v>2250</v>
      </c>
      <c r="N617" s="10">
        <f>SALCE[[#This Row],[After_Discount]]+SALCE[[#This Row],[Tax_Value]]</f>
        <v>12767.85</v>
      </c>
      <c r="O617" s="10">
        <f>SALCE[[#This Row],[Gross_Sales]]*70%</f>
        <v>10500</v>
      </c>
      <c r="P617" s="10">
        <f>SALCE[[#This Row],[Net_Sales]]-SALCE[[#This Row],[Cost_Price]]</f>
        <v>2267.8500000000004</v>
      </c>
      <c r="Q617" s="10">
        <f>SALCE[[#This Row],[Gross_Sales]]-SALCE[[#This Row],[Discount_Value]]</f>
        <v>12750</v>
      </c>
      <c r="R617" s="15" t="s">
        <v>50</v>
      </c>
      <c r="S617" s="15" t="s">
        <v>26</v>
      </c>
      <c r="T617" s="15" t="s">
        <v>27</v>
      </c>
    </row>
    <row r="618" spans="1:20" s="12" customFormat="1" ht="30" customHeight="1" thickTop="1" thickBot="1" x14ac:dyDescent="0.4">
      <c r="A618" s="7">
        <v>1617</v>
      </c>
      <c r="B618" s="8">
        <v>45909</v>
      </c>
      <c r="C618" s="14" t="s">
        <v>17</v>
      </c>
      <c r="D618" s="14" t="s">
        <v>41</v>
      </c>
      <c r="E618" s="14" t="s">
        <v>25</v>
      </c>
      <c r="F618" s="14" t="s">
        <v>20</v>
      </c>
      <c r="G618" s="7">
        <v>8</v>
      </c>
      <c r="H618" s="7">
        <v>500</v>
      </c>
      <c r="I618" s="9">
        <v>10</v>
      </c>
      <c r="J618" s="10">
        <f>SALCE[[#This Row],[After_Discount]]*SALCE[[#This Row],[Tax_%]]/100</f>
        <v>5.0400000000000009</v>
      </c>
      <c r="K618" s="11">
        <v>0.14000000000000001</v>
      </c>
      <c r="L618" s="10">
        <f>SALCE[[#This Row],[Quantity]]*SALCE[[#This Row],[Unit_Price]]</f>
        <v>4000</v>
      </c>
      <c r="M618" s="10">
        <f>SALCE[[#This Row],[Gross_Sales]]*SALCE[[#This Row],[Discount_%]]/100</f>
        <v>400</v>
      </c>
      <c r="N618" s="10">
        <f>SALCE[[#This Row],[After_Discount]]+SALCE[[#This Row],[Tax_Value]]</f>
        <v>3605.04</v>
      </c>
      <c r="O618" s="10">
        <f>SALCE[[#This Row],[Gross_Sales]]*70%</f>
        <v>2800</v>
      </c>
      <c r="P618" s="10">
        <f>SALCE[[#This Row],[Net_Sales]]-SALCE[[#This Row],[Cost_Price]]</f>
        <v>805.04</v>
      </c>
      <c r="Q618" s="10">
        <f>SALCE[[#This Row],[Gross_Sales]]-SALCE[[#This Row],[Discount_Value]]</f>
        <v>3600</v>
      </c>
      <c r="R618" s="15" t="s">
        <v>52</v>
      </c>
      <c r="S618" s="15" t="s">
        <v>37</v>
      </c>
      <c r="T618" s="15" t="s">
        <v>22</v>
      </c>
    </row>
    <row r="619" spans="1:20" s="12" customFormat="1" ht="30" customHeight="1" thickTop="1" thickBot="1" x14ac:dyDescent="0.4">
      <c r="A619" s="7">
        <v>1618</v>
      </c>
      <c r="B619" s="8">
        <v>45910</v>
      </c>
      <c r="C619" s="14" t="s">
        <v>23</v>
      </c>
      <c r="D619" s="14" t="s">
        <v>18</v>
      </c>
      <c r="E619" s="14" t="s">
        <v>19</v>
      </c>
      <c r="F619" s="14" t="s">
        <v>20</v>
      </c>
      <c r="G619" s="7">
        <v>10</v>
      </c>
      <c r="H619" s="7">
        <v>300</v>
      </c>
      <c r="I619" s="9">
        <v>0</v>
      </c>
      <c r="J619" s="10">
        <f>SALCE[[#This Row],[After_Discount]]*SALCE[[#This Row],[Tax_%]]/100</f>
        <v>4.2</v>
      </c>
      <c r="K619" s="11">
        <v>0.14000000000000001</v>
      </c>
      <c r="L619" s="10">
        <f>SALCE[[#This Row],[Quantity]]*SALCE[[#This Row],[Unit_Price]]</f>
        <v>3000</v>
      </c>
      <c r="M619" s="10">
        <f>SALCE[[#This Row],[Gross_Sales]]*SALCE[[#This Row],[Discount_%]]/100</f>
        <v>0</v>
      </c>
      <c r="N619" s="10">
        <f>SALCE[[#This Row],[After_Discount]]+SALCE[[#This Row],[Tax_Value]]</f>
        <v>3004.2</v>
      </c>
      <c r="O619" s="10">
        <f>SALCE[[#This Row],[Gross_Sales]]*70%</f>
        <v>2100</v>
      </c>
      <c r="P619" s="10">
        <f>SALCE[[#This Row],[Net_Sales]]-SALCE[[#This Row],[Cost_Price]]</f>
        <v>904.19999999999982</v>
      </c>
      <c r="Q619" s="10">
        <f>SALCE[[#This Row],[Gross_Sales]]-SALCE[[#This Row],[Discount_Value]]</f>
        <v>3000</v>
      </c>
      <c r="R619" s="15" t="s">
        <v>61</v>
      </c>
      <c r="S619" s="15" t="s">
        <v>26</v>
      </c>
      <c r="T619" s="15" t="s">
        <v>27</v>
      </c>
    </row>
    <row r="620" spans="1:20" s="12" customFormat="1" ht="30" customHeight="1" thickTop="1" thickBot="1" x14ac:dyDescent="0.4">
      <c r="A620" s="7">
        <v>1619</v>
      </c>
      <c r="B620" s="8">
        <v>45911</v>
      </c>
      <c r="C620" s="14" t="s">
        <v>17</v>
      </c>
      <c r="D620" s="14" t="s">
        <v>38</v>
      </c>
      <c r="E620" s="14" t="s">
        <v>19</v>
      </c>
      <c r="F620" s="14" t="s">
        <v>20</v>
      </c>
      <c r="G620" s="7">
        <v>2</v>
      </c>
      <c r="H620" s="7">
        <v>300</v>
      </c>
      <c r="I620" s="9">
        <v>0</v>
      </c>
      <c r="J620" s="10">
        <f>SALCE[[#This Row],[After_Discount]]*SALCE[[#This Row],[Tax_%]]/100</f>
        <v>0.84000000000000019</v>
      </c>
      <c r="K620" s="11">
        <v>0.14000000000000001</v>
      </c>
      <c r="L620" s="10">
        <f>SALCE[[#This Row],[Quantity]]*SALCE[[#This Row],[Unit_Price]]</f>
        <v>600</v>
      </c>
      <c r="M620" s="10">
        <f>SALCE[[#This Row],[Gross_Sales]]*SALCE[[#This Row],[Discount_%]]/100</f>
        <v>0</v>
      </c>
      <c r="N620" s="10">
        <f>SALCE[[#This Row],[After_Discount]]+SALCE[[#This Row],[Tax_Value]]</f>
        <v>600.84</v>
      </c>
      <c r="O620" s="10">
        <f>SALCE[[#This Row],[Gross_Sales]]*70%</f>
        <v>420</v>
      </c>
      <c r="P620" s="10">
        <f>SALCE[[#This Row],[Net_Sales]]-SALCE[[#This Row],[Cost_Price]]</f>
        <v>180.84000000000003</v>
      </c>
      <c r="Q620" s="10">
        <f>SALCE[[#This Row],[Gross_Sales]]-SALCE[[#This Row],[Discount_Value]]</f>
        <v>600</v>
      </c>
      <c r="R620" s="15" t="s">
        <v>62</v>
      </c>
      <c r="S620" s="15" t="s">
        <v>26</v>
      </c>
      <c r="T620" s="15" t="s">
        <v>27</v>
      </c>
    </row>
    <row r="621" spans="1:20" s="12" customFormat="1" ht="30" customHeight="1" thickTop="1" thickBot="1" x14ac:dyDescent="0.4">
      <c r="A621" s="7">
        <v>1620</v>
      </c>
      <c r="B621" s="8">
        <v>45912</v>
      </c>
      <c r="C621" s="14" t="s">
        <v>39</v>
      </c>
      <c r="D621" s="14" t="s">
        <v>29</v>
      </c>
      <c r="E621" s="14" t="s">
        <v>33</v>
      </c>
      <c r="F621" s="14" t="s">
        <v>32</v>
      </c>
      <c r="G621" s="7">
        <v>2</v>
      </c>
      <c r="H621" s="7">
        <v>6000</v>
      </c>
      <c r="I621" s="9">
        <v>15</v>
      </c>
      <c r="J621" s="10">
        <f>SALCE[[#This Row],[After_Discount]]*SALCE[[#This Row],[Tax_%]]/100</f>
        <v>14.280000000000003</v>
      </c>
      <c r="K621" s="11">
        <v>0.14000000000000001</v>
      </c>
      <c r="L621" s="10">
        <f>SALCE[[#This Row],[Quantity]]*SALCE[[#This Row],[Unit_Price]]</f>
        <v>12000</v>
      </c>
      <c r="M621" s="10">
        <f>SALCE[[#This Row],[Gross_Sales]]*SALCE[[#This Row],[Discount_%]]/100</f>
        <v>1800</v>
      </c>
      <c r="N621" s="10">
        <f>SALCE[[#This Row],[After_Discount]]+SALCE[[#This Row],[Tax_Value]]</f>
        <v>10214.280000000001</v>
      </c>
      <c r="O621" s="10">
        <f>SALCE[[#This Row],[Gross_Sales]]*70%</f>
        <v>8400</v>
      </c>
      <c r="P621" s="10">
        <f>SALCE[[#This Row],[Net_Sales]]-SALCE[[#This Row],[Cost_Price]]</f>
        <v>1814.2800000000007</v>
      </c>
      <c r="Q621" s="10">
        <f>SALCE[[#This Row],[Gross_Sales]]-SALCE[[#This Row],[Discount_Value]]</f>
        <v>10200</v>
      </c>
      <c r="R621" s="15" t="s">
        <v>57</v>
      </c>
      <c r="S621" s="15" t="s">
        <v>26</v>
      </c>
      <c r="T621" s="15" t="s">
        <v>27</v>
      </c>
    </row>
    <row r="622" spans="1:20" s="12" customFormat="1" ht="30" customHeight="1" thickTop="1" thickBot="1" x14ac:dyDescent="0.4">
      <c r="A622" s="7">
        <v>1621</v>
      </c>
      <c r="B622" s="8">
        <v>45913</v>
      </c>
      <c r="C622" s="14" t="s">
        <v>39</v>
      </c>
      <c r="D622" s="14" t="s">
        <v>29</v>
      </c>
      <c r="E622" s="14" t="s">
        <v>34</v>
      </c>
      <c r="F622" s="14" t="s">
        <v>32</v>
      </c>
      <c r="G622" s="7">
        <v>9</v>
      </c>
      <c r="H622" s="7">
        <v>4000</v>
      </c>
      <c r="I622" s="9">
        <v>10</v>
      </c>
      <c r="J622" s="10">
        <f>SALCE[[#This Row],[After_Discount]]*SALCE[[#This Row],[Tax_%]]/100</f>
        <v>45.36</v>
      </c>
      <c r="K622" s="11">
        <v>0.14000000000000001</v>
      </c>
      <c r="L622" s="10">
        <f>SALCE[[#This Row],[Quantity]]*SALCE[[#This Row],[Unit_Price]]</f>
        <v>36000</v>
      </c>
      <c r="M622" s="10">
        <f>SALCE[[#This Row],[Gross_Sales]]*SALCE[[#This Row],[Discount_%]]/100</f>
        <v>3600</v>
      </c>
      <c r="N622" s="10">
        <f>SALCE[[#This Row],[After_Discount]]+SALCE[[#This Row],[Tax_Value]]</f>
        <v>32445.360000000001</v>
      </c>
      <c r="O622" s="10">
        <f>SALCE[[#This Row],[Gross_Sales]]*70%</f>
        <v>25200</v>
      </c>
      <c r="P622" s="10">
        <f>SALCE[[#This Row],[Net_Sales]]-SALCE[[#This Row],[Cost_Price]]</f>
        <v>7245.3600000000006</v>
      </c>
      <c r="Q622" s="10">
        <f>SALCE[[#This Row],[Gross_Sales]]-SALCE[[#This Row],[Discount_Value]]</f>
        <v>32400</v>
      </c>
      <c r="R622" s="15" t="s">
        <v>58</v>
      </c>
      <c r="S622" s="15" t="s">
        <v>26</v>
      </c>
      <c r="T622" s="15" t="s">
        <v>27</v>
      </c>
    </row>
    <row r="623" spans="1:20" s="12" customFormat="1" ht="30" customHeight="1" thickTop="1" thickBot="1" x14ac:dyDescent="0.4">
      <c r="A623" s="7">
        <v>1622</v>
      </c>
      <c r="B623" s="8">
        <v>45914</v>
      </c>
      <c r="C623" s="14" t="s">
        <v>35</v>
      </c>
      <c r="D623" s="14" t="s">
        <v>36</v>
      </c>
      <c r="E623" s="14" t="s">
        <v>25</v>
      </c>
      <c r="F623" s="14" t="s">
        <v>20</v>
      </c>
      <c r="G623" s="7">
        <v>1</v>
      </c>
      <c r="H623" s="7">
        <v>500</v>
      </c>
      <c r="I623" s="9">
        <v>15</v>
      </c>
      <c r="J623" s="10">
        <f>SALCE[[#This Row],[After_Discount]]*SALCE[[#This Row],[Tax_%]]/100</f>
        <v>0.59500000000000008</v>
      </c>
      <c r="K623" s="11">
        <v>0.14000000000000001</v>
      </c>
      <c r="L623" s="10">
        <f>SALCE[[#This Row],[Quantity]]*SALCE[[#This Row],[Unit_Price]]</f>
        <v>500</v>
      </c>
      <c r="M623" s="10">
        <f>SALCE[[#This Row],[Gross_Sales]]*SALCE[[#This Row],[Discount_%]]/100</f>
        <v>75</v>
      </c>
      <c r="N623" s="10">
        <f>SALCE[[#This Row],[After_Discount]]+SALCE[[#This Row],[Tax_Value]]</f>
        <v>425.59500000000003</v>
      </c>
      <c r="O623" s="10">
        <f>SALCE[[#This Row],[Gross_Sales]]*70%</f>
        <v>350</v>
      </c>
      <c r="P623" s="10">
        <f>SALCE[[#This Row],[Net_Sales]]-SALCE[[#This Row],[Cost_Price]]</f>
        <v>75.595000000000027</v>
      </c>
      <c r="Q623" s="10">
        <f>SALCE[[#This Row],[Gross_Sales]]-SALCE[[#This Row],[Discount_Value]]</f>
        <v>425</v>
      </c>
      <c r="R623" s="15" t="s">
        <v>61</v>
      </c>
      <c r="S623" s="15" t="s">
        <v>26</v>
      </c>
      <c r="T623" s="15" t="s">
        <v>27</v>
      </c>
    </row>
    <row r="624" spans="1:20" s="12" customFormat="1" ht="30" customHeight="1" thickTop="1" thickBot="1" x14ac:dyDescent="0.4">
      <c r="A624" s="7">
        <v>1623</v>
      </c>
      <c r="B624" s="8">
        <v>45915</v>
      </c>
      <c r="C624" s="14" t="s">
        <v>35</v>
      </c>
      <c r="D624" s="14" t="s">
        <v>41</v>
      </c>
      <c r="E624" s="14" t="s">
        <v>33</v>
      </c>
      <c r="F624" s="14" t="s">
        <v>32</v>
      </c>
      <c r="G624" s="7">
        <v>10</v>
      </c>
      <c r="H624" s="7">
        <v>6000</v>
      </c>
      <c r="I624" s="9">
        <v>0</v>
      </c>
      <c r="J624" s="10">
        <f>SALCE[[#This Row],[After_Discount]]*SALCE[[#This Row],[Tax_%]]/100</f>
        <v>84</v>
      </c>
      <c r="K624" s="11">
        <v>0.14000000000000001</v>
      </c>
      <c r="L624" s="10">
        <f>SALCE[[#This Row],[Quantity]]*SALCE[[#This Row],[Unit_Price]]</f>
        <v>60000</v>
      </c>
      <c r="M624" s="10">
        <f>SALCE[[#This Row],[Gross_Sales]]*SALCE[[#This Row],[Discount_%]]/100</f>
        <v>0</v>
      </c>
      <c r="N624" s="10">
        <f>SALCE[[#This Row],[After_Discount]]+SALCE[[#This Row],[Tax_Value]]</f>
        <v>60084</v>
      </c>
      <c r="O624" s="10">
        <f>SALCE[[#This Row],[Gross_Sales]]*70%</f>
        <v>42000</v>
      </c>
      <c r="P624" s="10">
        <f>SALCE[[#This Row],[Net_Sales]]-SALCE[[#This Row],[Cost_Price]]</f>
        <v>18084</v>
      </c>
      <c r="Q624" s="10">
        <f>SALCE[[#This Row],[Gross_Sales]]-SALCE[[#This Row],[Discount_Value]]</f>
        <v>60000</v>
      </c>
      <c r="R624" s="15" t="s">
        <v>60</v>
      </c>
      <c r="S624" s="15" t="s">
        <v>21</v>
      </c>
      <c r="T624" s="15" t="s">
        <v>22</v>
      </c>
    </row>
    <row r="625" spans="1:20" s="12" customFormat="1" ht="30" customHeight="1" thickTop="1" thickBot="1" x14ac:dyDescent="0.4">
      <c r="A625" s="7">
        <v>1624</v>
      </c>
      <c r="B625" s="8">
        <v>45916</v>
      </c>
      <c r="C625" s="14" t="s">
        <v>28</v>
      </c>
      <c r="D625" s="14" t="s">
        <v>29</v>
      </c>
      <c r="E625" s="14" t="s">
        <v>19</v>
      </c>
      <c r="F625" s="14" t="s">
        <v>20</v>
      </c>
      <c r="G625" s="7">
        <v>10</v>
      </c>
      <c r="H625" s="7">
        <v>300</v>
      </c>
      <c r="I625" s="9">
        <v>0</v>
      </c>
      <c r="J625" s="10">
        <f>SALCE[[#This Row],[After_Discount]]*SALCE[[#This Row],[Tax_%]]/100</f>
        <v>4.2</v>
      </c>
      <c r="K625" s="11">
        <v>0.14000000000000001</v>
      </c>
      <c r="L625" s="10">
        <f>SALCE[[#This Row],[Quantity]]*SALCE[[#This Row],[Unit_Price]]</f>
        <v>3000</v>
      </c>
      <c r="M625" s="10">
        <f>SALCE[[#This Row],[Gross_Sales]]*SALCE[[#This Row],[Discount_%]]/100</f>
        <v>0</v>
      </c>
      <c r="N625" s="10">
        <f>SALCE[[#This Row],[After_Discount]]+SALCE[[#This Row],[Tax_Value]]</f>
        <v>3004.2</v>
      </c>
      <c r="O625" s="10">
        <f>SALCE[[#This Row],[Gross_Sales]]*70%</f>
        <v>2100</v>
      </c>
      <c r="P625" s="10">
        <f>SALCE[[#This Row],[Net_Sales]]-SALCE[[#This Row],[Cost_Price]]</f>
        <v>904.19999999999982</v>
      </c>
      <c r="Q625" s="10">
        <f>SALCE[[#This Row],[Gross_Sales]]-SALCE[[#This Row],[Discount_Value]]</f>
        <v>3000</v>
      </c>
      <c r="R625" s="15" t="s">
        <v>47</v>
      </c>
      <c r="S625" s="15" t="s">
        <v>26</v>
      </c>
      <c r="T625" s="15" t="s">
        <v>22</v>
      </c>
    </row>
    <row r="626" spans="1:20" s="12" customFormat="1" ht="30" customHeight="1" thickTop="1" thickBot="1" x14ac:dyDescent="0.4">
      <c r="A626" s="7">
        <v>1625</v>
      </c>
      <c r="B626" s="8">
        <v>45917</v>
      </c>
      <c r="C626" s="14" t="s">
        <v>28</v>
      </c>
      <c r="D626" s="14" t="s">
        <v>18</v>
      </c>
      <c r="E626" s="14" t="s">
        <v>19</v>
      </c>
      <c r="F626" s="14" t="s">
        <v>20</v>
      </c>
      <c r="G626" s="7">
        <v>3</v>
      </c>
      <c r="H626" s="7">
        <v>300</v>
      </c>
      <c r="I626" s="9">
        <v>10</v>
      </c>
      <c r="J626" s="10">
        <f>SALCE[[#This Row],[After_Discount]]*SALCE[[#This Row],[Tax_%]]/100</f>
        <v>1.1340000000000001</v>
      </c>
      <c r="K626" s="11">
        <v>0.14000000000000001</v>
      </c>
      <c r="L626" s="10">
        <f>SALCE[[#This Row],[Quantity]]*SALCE[[#This Row],[Unit_Price]]</f>
        <v>900</v>
      </c>
      <c r="M626" s="10">
        <f>SALCE[[#This Row],[Gross_Sales]]*SALCE[[#This Row],[Discount_%]]/100</f>
        <v>90</v>
      </c>
      <c r="N626" s="10">
        <f>SALCE[[#This Row],[After_Discount]]+SALCE[[#This Row],[Tax_Value]]</f>
        <v>811.13400000000001</v>
      </c>
      <c r="O626" s="10">
        <f>SALCE[[#This Row],[Gross_Sales]]*70%</f>
        <v>630</v>
      </c>
      <c r="P626" s="10">
        <f>SALCE[[#This Row],[Net_Sales]]-SALCE[[#This Row],[Cost_Price]]</f>
        <v>181.13400000000001</v>
      </c>
      <c r="Q626" s="10">
        <f>SALCE[[#This Row],[Gross_Sales]]-SALCE[[#This Row],[Discount_Value]]</f>
        <v>810</v>
      </c>
      <c r="R626" s="15" t="s">
        <v>61</v>
      </c>
      <c r="S626" s="15" t="s">
        <v>26</v>
      </c>
      <c r="T626" s="15" t="s">
        <v>22</v>
      </c>
    </row>
    <row r="627" spans="1:20" s="12" customFormat="1" ht="30" customHeight="1" thickTop="1" thickBot="1" x14ac:dyDescent="0.4">
      <c r="A627" s="7">
        <v>1626</v>
      </c>
      <c r="B627" s="8">
        <v>45918</v>
      </c>
      <c r="C627" s="14" t="s">
        <v>17</v>
      </c>
      <c r="D627" s="14" t="s">
        <v>36</v>
      </c>
      <c r="E627" s="14" t="s">
        <v>40</v>
      </c>
      <c r="F627" s="14" t="s">
        <v>20</v>
      </c>
      <c r="G627" s="7">
        <v>6</v>
      </c>
      <c r="H627" s="7">
        <v>800</v>
      </c>
      <c r="I627" s="9">
        <v>10</v>
      </c>
      <c r="J627" s="10">
        <f>SALCE[[#This Row],[After_Discount]]*SALCE[[#This Row],[Tax_%]]/100</f>
        <v>6.0480000000000009</v>
      </c>
      <c r="K627" s="11">
        <v>0.14000000000000001</v>
      </c>
      <c r="L627" s="10">
        <f>SALCE[[#This Row],[Quantity]]*SALCE[[#This Row],[Unit_Price]]</f>
        <v>4800</v>
      </c>
      <c r="M627" s="10">
        <f>SALCE[[#This Row],[Gross_Sales]]*SALCE[[#This Row],[Discount_%]]/100</f>
        <v>480</v>
      </c>
      <c r="N627" s="10">
        <f>SALCE[[#This Row],[After_Discount]]+SALCE[[#This Row],[Tax_Value]]</f>
        <v>4326.0479999999998</v>
      </c>
      <c r="O627" s="10">
        <f>SALCE[[#This Row],[Gross_Sales]]*70%</f>
        <v>3360</v>
      </c>
      <c r="P627" s="10">
        <f>SALCE[[#This Row],[Net_Sales]]-SALCE[[#This Row],[Cost_Price]]</f>
        <v>966.04799999999977</v>
      </c>
      <c r="Q627" s="10">
        <f>SALCE[[#This Row],[Gross_Sales]]-SALCE[[#This Row],[Discount_Value]]</f>
        <v>4320</v>
      </c>
      <c r="R627" s="15" t="s">
        <v>61</v>
      </c>
      <c r="S627" s="15" t="s">
        <v>21</v>
      </c>
      <c r="T627" s="15" t="s">
        <v>22</v>
      </c>
    </row>
    <row r="628" spans="1:20" s="12" customFormat="1" ht="30" customHeight="1" thickTop="1" thickBot="1" x14ac:dyDescent="0.4">
      <c r="A628" s="7">
        <v>1627</v>
      </c>
      <c r="B628" s="8">
        <v>45919</v>
      </c>
      <c r="C628" s="14" t="s">
        <v>17</v>
      </c>
      <c r="D628" s="14" t="s">
        <v>29</v>
      </c>
      <c r="E628" s="14" t="s">
        <v>25</v>
      </c>
      <c r="F628" s="14" t="s">
        <v>20</v>
      </c>
      <c r="G628" s="7">
        <v>2</v>
      </c>
      <c r="H628" s="7">
        <v>500</v>
      </c>
      <c r="I628" s="9">
        <v>0</v>
      </c>
      <c r="J628" s="10">
        <f>SALCE[[#This Row],[After_Discount]]*SALCE[[#This Row],[Tax_%]]/100</f>
        <v>1.4</v>
      </c>
      <c r="K628" s="11">
        <v>0.14000000000000001</v>
      </c>
      <c r="L628" s="10">
        <f>SALCE[[#This Row],[Quantity]]*SALCE[[#This Row],[Unit_Price]]</f>
        <v>1000</v>
      </c>
      <c r="M628" s="10">
        <f>SALCE[[#This Row],[Gross_Sales]]*SALCE[[#This Row],[Discount_%]]/100</f>
        <v>0</v>
      </c>
      <c r="N628" s="10">
        <f>SALCE[[#This Row],[After_Discount]]+SALCE[[#This Row],[Tax_Value]]</f>
        <v>1001.4</v>
      </c>
      <c r="O628" s="10">
        <f>SALCE[[#This Row],[Gross_Sales]]*70%</f>
        <v>700</v>
      </c>
      <c r="P628" s="10">
        <f>SALCE[[#This Row],[Net_Sales]]-SALCE[[#This Row],[Cost_Price]]</f>
        <v>301.39999999999998</v>
      </c>
      <c r="Q628" s="10">
        <f>SALCE[[#This Row],[Gross_Sales]]-SALCE[[#This Row],[Discount_Value]]</f>
        <v>1000</v>
      </c>
      <c r="R628" s="15" t="s">
        <v>50</v>
      </c>
      <c r="S628" s="15" t="s">
        <v>37</v>
      </c>
      <c r="T628" s="15" t="s">
        <v>22</v>
      </c>
    </row>
    <row r="629" spans="1:20" s="12" customFormat="1" ht="30" customHeight="1" thickTop="1" thickBot="1" x14ac:dyDescent="0.4">
      <c r="A629" s="7">
        <v>1628</v>
      </c>
      <c r="B629" s="8">
        <v>45920</v>
      </c>
      <c r="C629" s="14" t="s">
        <v>17</v>
      </c>
      <c r="D629" s="14" t="s">
        <v>29</v>
      </c>
      <c r="E629" s="14" t="s">
        <v>33</v>
      </c>
      <c r="F629" s="14" t="s">
        <v>32</v>
      </c>
      <c r="G629" s="7">
        <v>8</v>
      </c>
      <c r="H629" s="7">
        <v>6000</v>
      </c>
      <c r="I629" s="9">
        <v>0</v>
      </c>
      <c r="J629" s="10">
        <f>SALCE[[#This Row],[After_Discount]]*SALCE[[#This Row],[Tax_%]]/100</f>
        <v>67.2</v>
      </c>
      <c r="K629" s="11">
        <v>0.14000000000000001</v>
      </c>
      <c r="L629" s="10">
        <f>SALCE[[#This Row],[Quantity]]*SALCE[[#This Row],[Unit_Price]]</f>
        <v>48000</v>
      </c>
      <c r="M629" s="10">
        <f>SALCE[[#This Row],[Gross_Sales]]*SALCE[[#This Row],[Discount_%]]/100</f>
        <v>0</v>
      </c>
      <c r="N629" s="10">
        <f>SALCE[[#This Row],[After_Discount]]+SALCE[[#This Row],[Tax_Value]]</f>
        <v>48067.199999999997</v>
      </c>
      <c r="O629" s="10">
        <f>SALCE[[#This Row],[Gross_Sales]]*70%</f>
        <v>33600</v>
      </c>
      <c r="P629" s="10">
        <f>SALCE[[#This Row],[Net_Sales]]-SALCE[[#This Row],[Cost_Price]]</f>
        <v>14467.199999999997</v>
      </c>
      <c r="Q629" s="10">
        <f>SALCE[[#This Row],[Gross_Sales]]-SALCE[[#This Row],[Discount_Value]]</f>
        <v>48000</v>
      </c>
      <c r="R629" s="15" t="s">
        <v>60</v>
      </c>
      <c r="S629" s="15" t="s">
        <v>37</v>
      </c>
      <c r="T629" s="15" t="s">
        <v>27</v>
      </c>
    </row>
    <row r="630" spans="1:20" s="12" customFormat="1" ht="30" customHeight="1" thickTop="1" thickBot="1" x14ac:dyDescent="0.4">
      <c r="A630" s="7">
        <v>1629</v>
      </c>
      <c r="B630" s="8">
        <v>45921</v>
      </c>
      <c r="C630" s="14" t="s">
        <v>17</v>
      </c>
      <c r="D630" s="14" t="s">
        <v>24</v>
      </c>
      <c r="E630" s="14" t="s">
        <v>33</v>
      </c>
      <c r="F630" s="14" t="s">
        <v>32</v>
      </c>
      <c r="G630" s="7">
        <v>8</v>
      </c>
      <c r="H630" s="7">
        <v>6000</v>
      </c>
      <c r="I630" s="9">
        <v>10</v>
      </c>
      <c r="J630" s="10">
        <f>SALCE[[#This Row],[After_Discount]]*SALCE[[#This Row],[Tax_%]]/100</f>
        <v>60.480000000000011</v>
      </c>
      <c r="K630" s="11">
        <v>0.14000000000000001</v>
      </c>
      <c r="L630" s="10">
        <f>SALCE[[#This Row],[Quantity]]*SALCE[[#This Row],[Unit_Price]]</f>
        <v>48000</v>
      </c>
      <c r="M630" s="10">
        <f>SALCE[[#This Row],[Gross_Sales]]*SALCE[[#This Row],[Discount_%]]/100</f>
        <v>4800</v>
      </c>
      <c r="N630" s="10">
        <f>SALCE[[#This Row],[After_Discount]]+SALCE[[#This Row],[Tax_Value]]</f>
        <v>43260.480000000003</v>
      </c>
      <c r="O630" s="10">
        <f>SALCE[[#This Row],[Gross_Sales]]*70%</f>
        <v>33600</v>
      </c>
      <c r="P630" s="10">
        <f>SALCE[[#This Row],[Net_Sales]]-SALCE[[#This Row],[Cost_Price]]</f>
        <v>9660.4800000000032</v>
      </c>
      <c r="Q630" s="10">
        <f>SALCE[[#This Row],[Gross_Sales]]-SALCE[[#This Row],[Discount_Value]]</f>
        <v>43200</v>
      </c>
      <c r="R630" s="15" t="s">
        <v>60</v>
      </c>
      <c r="S630" s="15" t="s">
        <v>21</v>
      </c>
      <c r="T630" s="15" t="s">
        <v>27</v>
      </c>
    </row>
    <row r="631" spans="1:20" s="12" customFormat="1" ht="30" customHeight="1" thickTop="1" thickBot="1" x14ac:dyDescent="0.4">
      <c r="A631" s="7">
        <v>1630</v>
      </c>
      <c r="B631" s="8">
        <v>45922</v>
      </c>
      <c r="C631" s="14" t="s">
        <v>35</v>
      </c>
      <c r="D631" s="14" t="s">
        <v>29</v>
      </c>
      <c r="E631" s="14" t="s">
        <v>34</v>
      </c>
      <c r="F631" s="14" t="s">
        <v>32</v>
      </c>
      <c r="G631" s="7">
        <v>5</v>
      </c>
      <c r="H631" s="7">
        <v>4000</v>
      </c>
      <c r="I631" s="9">
        <v>5</v>
      </c>
      <c r="J631" s="10">
        <f>SALCE[[#This Row],[After_Discount]]*SALCE[[#This Row],[Tax_%]]/100</f>
        <v>26.600000000000005</v>
      </c>
      <c r="K631" s="11">
        <v>0.14000000000000001</v>
      </c>
      <c r="L631" s="10">
        <f>SALCE[[#This Row],[Quantity]]*SALCE[[#This Row],[Unit_Price]]</f>
        <v>20000</v>
      </c>
      <c r="M631" s="10">
        <f>SALCE[[#This Row],[Gross_Sales]]*SALCE[[#This Row],[Discount_%]]/100</f>
        <v>1000</v>
      </c>
      <c r="N631" s="10">
        <f>SALCE[[#This Row],[After_Discount]]+SALCE[[#This Row],[Tax_Value]]</f>
        <v>19026.599999999999</v>
      </c>
      <c r="O631" s="10">
        <f>SALCE[[#This Row],[Gross_Sales]]*70%</f>
        <v>14000</v>
      </c>
      <c r="P631" s="10">
        <f>SALCE[[#This Row],[Net_Sales]]-SALCE[[#This Row],[Cost_Price]]</f>
        <v>5026.5999999999985</v>
      </c>
      <c r="Q631" s="10">
        <f>SALCE[[#This Row],[Gross_Sales]]-SALCE[[#This Row],[Discount_Value]]</f>
        <v>19000</v>
      </c>
      <c r="R631" s="15" t="s">
        <v>51</v>
      </c>
      <c r="S631" s="15" t="s">
        <v>26</v>
      </c>
      <c r="T631" s="15" t="s">
        <v>22</v>
      </c>
    </row>
    <row r="632" spans="1:20" s="12" customFormat="1" ht="30" customHeight="1" thickTop="1" thickBot="1" x14ac:dyDescent="0.4">
      <c r="A632" s="7">
        <v>1631</v>
      </c>
      <c r="B632" s="8">
        <v>45923</v>
      </c>
      <c r="C632" s="14" t="s">
        <v>17</v>
      </c>
      <c r="D632" s="14" t="s">
        <v>41</v>
      </c>
      <c r="E632" s="14" t="s">
        <v>19</v>
      </c>
      <c r="F632" s="14" t="s">
        <v>20</v>
      </c>
      <c r="G632" s="7">
        <v>9</v>
      </c>
      <c r="H632" s="7">
        <v>300</v>
      </c>
      <c r="I632" s="9">
        <v>15</v>
      </c>
      <c r="J632" s="10">
        <f>SALCE[[#This Row],[After_Discount]]*SALCE[[#This Row],[Tax_%]]/100</f>
        <v>3.2130000000000001</v>
      </c>
      <c r="K632" s="11">
        <v>0.14000000000000001</v>
      </c>
      <c r="L632" s="10">
        <f>SALCE[[#This Row],[Quantity]]*SALCE[[#This Row],[Unit_Price]]</f>
        <v>2700</v>
      </c>
      <c r="M632" s="10">
        <f>SALCE[[#This Row],[Gross_Sales]]*SALCE[[#This Row],[Discount_%]]/100</f>
        <v>405</v>
      </c>
      <c r="N632" s="10">
        <f>SALCE[[#This Row],[After_Discount]]+SALCE[[#This Row],[Tax_Value]]</f>
        <v>2298.2130000000002</v>
      </c>
      <c r="O632" s="10">
        <f>SALCE[[#This Row],[Gross_Sales]]*70%</f>
        <v>1889.9999999999998</v>
      </c>
      <c r="P632" s="10">
        <f>SALCE[[#This Row],[Net_Sales]]-SALCE[[#This Row],[Cost_Price]]</f>
        <v>408.21300000000042</v>
      </c>
      <c r="Q632" s="10">
        <f>SALCE[[#This Row],[Gross_Sales]]-SALCE[[#This Row],[Discount_Value]]</f>
        <v>2295</v>
      </c>
      <c r="R632" s="15" t="s">
        <v>62</v>
      </c>
      <c r="S632" s="15" t="s">
        <v>26</v>
      </c>
      <c r="T632" s="15" t="s">
        <v>22</v>
      </c>
    </row>
    <row r="633" spans="1:20" s="12" customFormat="1" ht="30" customHeight="1" thickTop="1" thickBot="1" x14ac:dyDescent="0.4">
      <c r="A633" s="7">
        <v>1632</v>
      </c>
      <c r="B633" s="8">
        <v>45924</v>
      </c>
      <c r="C633" s="14" t="s">
        <v>23</v>
      </c>
      <c r="D633" s="14" t="s">
        <v>36</v>
      </c>
      <c r="E633" s="14" t="s">
        <v>31</v>
      </c>
      <c r="F633" s="14" t="s">
        <v>32</v>
      </c>
      <c r="G633" s="7">
        <v>8</v>
      </c>
      <c r="H633" s="7">
        <v>15000</v>
      </c>
      <c r="I633" s="9">
        <v>0</v>
      </c>
      <c r="J633" s="10">
        <f>SALCE[[#This Row],[After_Discount]]*SALCE[[#This Row],[Tax_%]]/100</f>
        <v>168</v>
      </c>
      <c r="K633" s="11">
        <v>0.14000000000000001</v>
      </c>
      <c r="L633" s="10">
        <f>SALCE[[#This Row],[Quantity]]*SALCE[[#This Row],[Unit_Price]]</f>
        <v>120000</v>
      </c>
      <c r="M633" s="10">
        <f>SALCE[[#This Row],[Gross_Sales]]*SALCE[[#This Row],[Discount_%]]/100</f>
        <v>0</v>
      </c>
      <c r="N633" s="10">
        <f>SALCE[[#This Row],[After_Discount]]+SALCE[[#This Row],[Tax_Value]]</f>
        <v>120168</v>
      </c>
      <c r="O633" s="10">
        <f>SALCE[[#This Row],[Gross_Sales]]*70%</f>
        <v>84000</v>
      </c>
      <c r="P633" s="10">
        <f>SALCE[[#This Row],[Net_Sales]]-SALCE[[#This Row],[Cost_Price]]</f>
        <v>36168</v>
      </c>
      <c r="Q633" s="10">
        <f>SALCE[[#This Row],[Gross_Sales]]-SALCE[[#This Row],[Discount_Value]]</f>
        <v>120000</v>
      </c>
      <c r="R633" s="15" t="s">
        <v>49</v>
      </c>
      <c r="S633" s="15" t="s">
        <v>37</v>
      </c>
      <c r="T633" s="15" t="s">
        <v>22</v>
      </c>
    </row>
    <row r="634" spans="1:20" s="12" customFormat="1" ht="30" customHeight="1" thickTop="1" thickBot="1" x14ac:dyDescent="0.4">
      <c r="A634" s="7">
        <v>1633</v>
      </c>
      <c r="B634" s="8">
        <v>45925</v>
      </c>
      <c r="C634" s="14" t="s">
        <v>35</v>
      </c>
      <c r="D634" s="14" t="s">
        <v>24</v>
      </c>
      <c r="E634" s="14" t="s">
        <v>33</v>
      </c>
      <c r="F634" s="14" t="s">
        <v>32</v>
      </c>
      <c r="G634" s="7">
        <v>3</v>
      </c>
      <c r="H634" s="7">
        <v>6000</v>
      </c>
      <c r="I634" s="9">
        <v>15</v>
      </c>
      <c r="J634" s="10">
        <f>SALCE[[#This Row],[After_Discount]]*SALCE[[#This Row],[Tax_%]]/100</f>
        <v>21.42</v>
      </c>
      <c r="K634" s="11">
        <v>0.14000000000000001</v>
      </c>
      <c r="L634" s="10">
        <f>SALCE[[#This Row],[Quantity]]*SALCE[[#This Row],[Unit_Price]]</f>
        <v>18000</v>
      </c>
      <c r="M634" s="10">
        <f>SALCE[[#This Row],[Gross_Sales]]*SALCE[[#This Row],[Discount_%]]/100</f>
        <v>2700</v>
      </c>
      <c r="N634" s="10">
        <f>SALCE[[#This Row],[After_Discount]]+SALCE[[#This Row],[Tax_Value]]</f>
        <v>15321.42</v>
      </c>
      <c r="O634" s="10">
        <f>SALCE[[#This Row],[Gross_Sales]]*70%</f>
        <v>12600</v>
      </c>
      <c r="P634" s="10">
        <f>SALCE[[#This Row],[Net_Sales]]-SALCE[[#This Row],[Cost_Price]]</f>
        <v>2721.42</v>
      </c>
      <c r="Q634" s="10">
        <f>SALCE[[#This Row],[Gross_Sales]]-SALCE[[#This Row],[Discount_Value]]</f>
        <v>15300</v>
      </c>
      <c r="R634" s="15" t="s">
        <v>49</v>
      </c>
      <c r="S634" s="15" t="s">
        <v>37</v>
      </c>
      <c r="T634" s="15" t="s">
        <v>27</v>
      </c>
    </row>
    <row r="635" spans="1:20" s="12" customFormat="1" ht="30" customHeight="1" thickTop="1" thickBot="1" x14ac:dyDescent="0.4">
      <c r="A635" s="7">
        <v>1634</v>
      </c>
      <c r="B635" s="8">
        <v>45926</v>
      </c>
      <c r="C635" s="14" t="s">
        <v>35</v>
      </c>
      <c r="D635" s="14" t="s">
        <v>24</v>
      </c>
      <c r="E635" s="14" t="s">
        <v>25</v>
      </c>
      <c r="F635" s="14" t="s">
        <v>20</v>
      </c>
      <c r="G635" s="7">
        <v>8</v>
      </c>
      <c r="H635" s="7">
        <v>500</v>
      </c>
      <c r="I635" s="9">
        <v>5</v>
      </c>
      <c r="J635" s="10">
        <f>SALCE[[#This Row],[After_Discount]]*SALCE[[#This Row],[Tax_%]]/100</f>
        <v>5.32</v>
      </c>
      <c r="K635" s="11">
        <v>0.14000000000000001</v>
      </c>
      <c r="L635" s="10">
        <f>SALCE[[#This Row],[Quantity]]*SALCE[[#This Row],[Unit_Price]]</f>
        <v>4000</v>
      </c>
      <c r="M635" s="10">
        <f>SALCE[[#This Row],[Gross_Sales]]*SALCE[[#This Row],[Discount_%]]/100</f>
        <v>200</v>
      </c>
      <c r="N635" s="10">
        <f>SALCE[[#This Row],[After_Discount]]+SALCE[[#This Row],[Tax_Value]]</f>
        <v>3805.32</v>
      </c>
      <c r="O635" s="10">
        <f>SALCE[[#This Row],[Gross_Sales]]*70%</f>
        <v>2800</v>
      </c>
      <c r="P635" s="10">
        <f>SALCE[[#This Row],[Net_Sales]]-SALCE[[#This Row],[Cost_Price]]</f>
        <v>1005.3200000000002</v>
      </c>
      <c r="Q635" s="10">
        <f>SALCE[[#This Row],[Gross_Sales]]-SALCE[[#This Row],[Discount_Value]]</f>
        <v>3800</v>
      </c>
      <c r="R635" s="15" t="s">
        <v>51</v>
      </c>
      <c r="S635" s="15" t="s">
        <v>37</v>
      </c>
      <c r="T635" s="15" t="s">
        <v>22</v>
      </c>
    </row>
    <row r="636" spans="1:20" s="12" customFormat="1" ht="30" customHeight="1" thickTop="1" thickBot="1" x14ac:dyDescent="0.4">
      <c r="A636" s="7">
        <v>1635</v>
      </c>
      <c r="B636" s="8">
        <v>45927</v>
      </c>
      <c r="C636" s="14" t="s">
        <v>39</v>
      </c>
      <c r="D636" s="14" t="s">
        <v>41</v>
      </c>
      <c r="E636" s="14" t="s">
        <v>19</v>
      </c>
      <c r="F636" s="14" t="s">
        <v>20</v>
      </c>
      <c r="G636" s="7">
        <v>3</v>
      </c>
      <c r="H636" s="7">
        <v>300</v>
      </c>
      <c r="I636" s="9">
        <v>15</v>
      </c>
      <c r="J636" s="10">
        <f>SALCE[[#This Row],[After_Discount]]*SALCE[[#This Row],[Tax_%]]/100</f>
        <v>1.0710000000000002</v>
      </c>
      <c r="K636" s="11">
        <v>0.14000000000000001</v>
      </c>
      <c r="L636" s="10">
        <f>SALCE[[#This Row],[Quantity]]*SALCE[[#This Row],[Unit_Price]]</f>
        <v>900</v>
      </c>
      <c r="M636" s="10">
        <f>SALCE[[#This Row],[Gross_Sales]]*SALCE[[#This Row],[Discount_%]]/100</f>
        <v>135</v>
      </c>
      <c r="N636" s="10">
        <f>SALCE[[#This Row],[After_Discount]]+SALCE[[#This Row],[Tax_Value]]</f>
        <v>766.07100000000003</v>
      </c>
      <c r="O636" s="10">
        <f>SALCE[[#This Row],[Gross_Sales]]*70%</f>
        <v>630</v>
      </c>
      <c r="P636" s="10">
        <f>SALCE[[#This Row],[Net_Sales]]-SALCE[[#This Row],[Cost_Price]]</f>
        <v>136.07100000000003</v>
      </c>
      <c r="Q636" s="10">
        <f>SALCE[[#This Row],[Gross_Sales]]-SALCE[[#This Row],[Discount_Value]]</f>
        <v>765</v>
      </c>
      <c r="R636" s="15" t="s">
        <v>61</v>
      </c>
      <c r="S636" s="15" t="s">
        <v>37</v>
      </c>
      <c r="T636" s="15" t="s">
        <v>27</v>
      </c>
    </row>
    <row r="637" spans="1:20" s="12" customFormat="1" ht="30" customHeight="1" thickTop="1" thickBot="1" x14ac:dyDescent="0.4">
      <c r="A637" s="7">
        <v>1636</v>
      </c>
      <c r="B637" s="8">
        <v>45928</v>
      </c>
      <c r="C637" s="14" t="s">
        <v>17</v>
      </c>
      <c r="D637" s="14" t="s">
        <v>18</v>
      </c>
      <c r="E637" s="14" t="s">
        <v>25</v>
      </c>
      <c r="F637" s="14" t="s">
        <v>20</v>
      </c>
      <c r="G637" s="7">
        <v>9</v>
      </c>
      <c r="H637" s="7">
        <v>500</v>
      </c>
      <c r="I637" s="9">
        <v>0</v>
      </c>
      <c r="J637" s="10">
        <f>SALCE[[#This Row],[After_Discount]]*SALCE[[#This Row],[Tax_%]]/100</f>
        <v>6.3000000000000007</v>
      </c>
      <c r="K637" s="11">
        <v>0.14000000000000001</v>
      </c>
      <c r="L637" s="10">
        <f>SALCE[[#This Row],[Quantity]]*SALCE[[#This Row],[Unit_Price]]</f>
        <v>4500</v>
      </c>
      <c r="M637" s="10">
        <f>SALCE[[#This Row],[Gross_Sales]]*SALCE[[#This Row],[Discount_%]]/100</f>
        <v>0</v>
      </c>
      <c r="N637" s="10">
        <f>SALCE[[#This Row],[After_Discount]]+SALCE[[#This Row],[Tax_Value]]</f>
        <v>4506.3</v>
      </c>
      <c r="O637" s="10">
        <f>SALCE[[#This Row],[Gross_Sales]]*70%</f>
        <v>3150</v>
      </c>
      <c r="P637" s="10">
        <f>SALCE[[#This Row],[Net_Sales]]-SALCE[[#This Row],[Cost_Price]]</f>
        <v>1356.3000000000002</v>
      </c>
      <c r="Q637" s="10">
        <f>SALCE[[#This Row],[Gross_Sales]]-SALCE[[#This Row],[Discount_Value]]</f>
        <v>4500</v>
      </c>
      <c r="R637" s="15" t="s">
        <v>54</v>
      </c>
      <c r="S637" s="15" t="s">
        <v>21</v>
      </c>
      <c r="T637" s="15" t="s">
        <v>22</v>
      </c>
    </row>
    <row r="638" spans="1:20" s="12" customFormat="1" ht="30" customHeight="1" thickTop="1" thickBot="1" x14ac:dyDescent="0.4">
      <c r="A638" s="7">
        <v>1637</v>
      </c>
      <c r="B638" s="8">
        <v>45929</v>
      </c>
      <c r="C638" s="14" t="s">
        <v>17</v>
      </c>
      <c r="D638" s="14" t="s">
        <v>36</v>
      </c>
      <c r="E638" s="14" t="s">
        <v>34</v>
      </c>
      <c r="F638" s="14" t="s">
        <v>32</v>
      </c>
      <c r="G638" s="7">
        <v>10</v>
      </c>
      <c r="H638" s="7">
        <v>4000</v>
      </c>
      <c r="I638" s="9">
        <v>15</v>
      </c>
      <c r="J638" s="10">
        <f>SALCE[[#This Row],[After_Discount]]*SALCE[[#This Row],[Tax_%]]/100</f>
        <v>47.6</v>
      </c>
      <c r="K638" s="11">
        <v>0.14000000000000001</v>
      </c>
      <c r="L638" s="10">
        <f>SALCE[[#This Row],[Quantity]]*SALCE[[#This Row],[Unit_Price]]</f>
        <v>40000</v>
      </c>
      <c r="M638" s="10">
        <f>SALCE[[#This Row],[Gross_Sales]]*SALCE[[#This Row],[Discount_%]]/100</f>
        <v>6000</v>
      </c>
      <c r="N638" s="10">
        <f>SALCE[[#This Row],[After_Discount]]+SALCE[[#This Row],[Tax_Value]]</f>
        <v>34047.599999999999</v>
      </c>
      <c r="O638" s="10">
        <f>SALCE[[#This Row],[Gross_Sales]]*70%</f>
        <v>28000</v>
      </c>
      <c r="P638" s="10">
        <f>SALCE[[#This Row],[Net_Sales]]-SALCE[[#This Row],[Cost_Price]]</f>
        <v>6047.5999999999985</v>
      </c>
      <c r="Q638" s="10">
        <f>SALCE[[#This Row],[Gross_Sales]]-SALCE[[#This Row],[Discount_Value]]</f>
        <v>34000</v>
      </c>
      <c r="R638" s="15" t="s">
        <v>53</v>
      </c>
      <c r="S638" s="15" t="s">
        <v>37</v>
      </c>
      <c r="T638" s="15" t="s">
        <v>27</v>
      </c>
    </row>
    <row r="639" spans="1:20" s="12" customFormat="1" ht="30" customHeight="1" thickTop="1" thickBot="1" x14ac:dyDescent="0.4">
      <c r="A639" s="7">
        <v>1638</v>
      </c>
      <c r="B639" s="8">
        <v>45930</v>
      </c>
      <c r="C639" s="14" t="s">
        <v>17</v>
      </c>
      <c r="D639" s="14" t="s">
        <v>41</v>
      </c>
      <c r="E639" s="14" t="s">
        <v>31</v>
      </c>
      <c r="F639" s="14" t="s">
        <v>32</v>
      </c>
      <c r="G639" s="7">
        <v>3</v>
      </c>
      <c r="H639" s="7">
        <v>15000</v>
      </c>
      <c r="I639" s="9">
        <v>10</v>
      </c>
      <c r="J639" s="10">
        <f>SALCE[[#This Row],[After_Discount]]*SALCE[[#This Row],[Tax_%]]/100</f>
        <v>56.70000000000001</v>
      </c>
      <c r="K639" s="11">
        <v>0.14000000000000001</v>
      </c>
      <c r="L639" s="10">
        <f>SALCE[[#This Row],[Quantity]]*SALCE[[#This Row],[Unit_Price]]</f>
        <v>45000</v>
      </c>
      <c r="M639" s="10">
        <f>SALCE[[#This Row],[Gross_Sales]]*SALCE[[#This Row],[Discount_%]]/100</f>
        <v>4500</v>
      </c>
      <c r="N639" s="10">
        <f>SALCE[[#This Row],[After_Discount]]+SALCE[[#This Row],[Tax_Value]]</f>
        <v>40556.699999999997</v>
      </c>
      <c r="O639" s="10">
        <f>SALCE[[#This Row],[Gross_Sales]]*70%</f>
        <v>31499.999999999996</v>
      </c>
      <c r="P639" s="10">
        <f>SALCE[[#This Row],[Net_Sales]]-SALCE[[#This Row],[Cost_Price]]</f>
        <v>9056.7000000000007</v>
      </c>
      <c r="Q639" s="10">
        <f>SALCE[[#This Row],[Gross_Sales]]-SALCE[[#This Row],[Discount_Value]]</f>
        <v>40500</v>
      </c>
      <c r="R639" s="15" t="s">
        <v>54</v>
      </c>
      <c r="S639" s="15" t="s">
        <v>26</v>
      </c>
      <c r="T639" s="15" t="s">
        <v>22</v>
      </c>
    </row>
    <row r="640" spans="1:20" s="12" customFormat="1" ht="30" customHeight="1" thickTop="1" thickBot="1" x14ac:dyDescent="0.4">
      <c r="A640" s="7">
        <v>1639</v>
      </c>
      <c r="B640" s="8">
        <v>45931</v>
      </c>
      <c r="C640" s="14" t="s">
        <v>23</v>
      </c>
      <c r="D640" s="14" t="s">
        <v>24</v>
      </c>
      <c r="E640" s="14" t="s">
        <v>34</v>
      </c>
      <c r="F640" s="14" t="s">
        <v>32</v>
      </c>
      <c r="G640" s="7">
        <v>2</v>
      </c>
      <c r="H640" s="7">
        <v>4000</v>
      </c>
      <c r="I640" s="9">
        <v>5</v>
      </c>
      <c r="J640" s="10">
        <f>SALCE[[#This Row],[After_Discount]]*SALCE[[#This Row],[Tax_%]]/100</f>
        <v>10.64</v>
      </c>
      <c r="K640" s="11">
        <v>0.14000000000000001</v>
      </c>
      <c r="L640" s="10">
        <f>SALCE[[#This Row],[Quantity]]*SALCE[[#This Row],[Unit_Price]]</f>
        <v>8000</v>
      </c>
      <c r="M640" s="10">
        <f>SALCE[[#This Row],[Gross_Sales]]*SALCE[[#This Row],[Discount_%]]/100</f>
        <v>400</v>
      </c>
      <c r="N640" s="10">
        <f>SALCE[[#This Row],[After_Discount]]+SALCE[[#This Row],[Tax_Value]]</f>
        <v>7610.64</v>
      </c>
      <c r="O640" s="10">
        <f>SALCE[[#This Row],[Gross_Sales]]*70%</f>
        <v>5600</v>
      </c>
      <c r="P640" s="10">
        <f>SALCE[[#This Row],[Net_Sales]]-SALCE[[#This Row],[Cost_Price]]</f>
        <v>2010.6400000000003</v>
      </c>
      <c r="Q640" s="10">
        <f>SALCE[[#This Row],[Gross_Sales]]-SALCE[[#This Row],[Discount_Value]]</f>
        <v>7600</v>
      </c>
      <c r="R640" s="15" t="s">
        <v>52</v>
      </c>
      <c r="S640" s="15" t="s">
        <v>37</v>
      </c>
      <c r="T640" s="15" t="s">
        <v>22</v>
      </c>
    </row>
    <row r="641" spans="1:20" s="12" customFormat="1" ht="30" customHeight="1" thickTop="1" thickBot="1" x14ac:dyDescent="0.4">
      <c r="A641" s="7">
        <v>1640</v>
      </c>
      <c r="B641" s="8">
        <v>45932</v>
      </c>
      <c r="C641" s="14" t="s">
        <v>39</v>
      </c>
      <c r="D641" s="14" t="s">
        <v>41</v>
      </c>
      <c r="E641" s="14" t="s">
        <v>25</v>
      </c>
      <c r="F641" s="14" t="s">
        <v>20</v>
      </c>
      <c r="G641" s="7">
        <v>3</v>
      </c>
      <c r="H641" s="7">
        <v>500</v>
      </c>
      <c r="I641" s="9">
        <v>10</v>
      </c>
      <c r="J641" s="10">
        <f>SALCE[[#This Row],[After_Discount]]*SALCE[[#This Row],[Tax_%]]/100</f>
        <v>1.8900000000000003</v>
      </c>
      <c r="K641" s="11">
        <v>0.14000000000000001</v>
      </c>
      <c r="L641" s="10">
        <f>SALCE[[#This Row],[Quantity]]*SALCE[[#This Row],[Unit_Price]]</f>
        <v>1500</v>
      </c>
      <c r="M641" s="10">
        <f>SALCE[[#This Row],[Gross_Sales]]*SALCE[[#This Row],[Discount_%]]/100</f>
        <v>150</v>
      </c>
      <c r="N641" s="10">
        <f>SALCE[[#This Row],[After_Discount]]+SALCE[[#This Row],[Tax_Value]]</f>
        <v>1351.89</v>
      </c>
      <c r="O641" s="10">
        <f>SALCE[[#This Row],[Gross_Sales]]*70%</f>
        <v>1050</v>
      </c>
      <c r="P641" s="10">
        <f>SALCE[[#This Row],[Net_Sales]]-SALCE[[#This Row],[Cost_Price]]</f>
        <v>301.8900000000001</v>
      </c>
      <c r="Q641" s="10">
        <f>SALCE[[#This Row],[Gross_Sales]]-SALCE[[#This Row],[Discount_Value]]</f>
        <v>1350</v>
      </c>
      <c r="R641" s="15" t="s">
        <v>54</v>
      </c>
      <c r="S641" s="15" t="s">
        <v>37</v>
      </c>
      <c r="T641" s="15" t="s">
        <v>27</v>
      </c>
    </row>
    <row r="642" spans="1:20" s="12" customFormat="1" ht="30" customHeight="1" thickTop="1" thickBot="1" x14ac:dyDescent="0.4">
      <c r="A642" s="7">
        <v>1641</v>
      </c>
      <c r="B642" s="8">
        <v>45933</v>
      </c>
      <c r="C642" s="14" t="s">
        <v>30</v>
      </c>
      <c r="D642" s="14" t="s">
        <v>18</v>
      </c>
      <c r="E642" s="14" t="s">
        <v>25</v>
      </c>
      <c r="F642" s="14" t="s">
        <v>20</v>
      </c>
      <c r="G642" s="7">
        <v>2</v>
      </c>
      <c r="H642" s="7">
        <v>500</v>
      </c>
      <c r="I642" s="9">
        <v>5</v>
      </c>
      <c r="J642" s="10">
        <f>SALCE[[#This Row],[After_Discount]]*SALCE[[#This Row],[Tax_%]]/100</f>
        <v>1.33</v>
      </c>
      <c r="K642" s="11">
        <v>0.14000000000000001</v>
      </c>
      <c r="L642" s="10">
        <f>SALCE[[#This Row],[Quantity]]*SALCE[[#This Row],[Unit_Price]]</f>
        <v>1000</v>
      </c>
      <c r="M642" s="10">
        <f>SALCE[[#This Row],[Gross_Sales]]*SALCE[[#This Row],[Discount_%]]/100</f>
        <v>50</v>
      </c>
      <c r="N642" s="10">
        <f>SALCE[[#This Row],[After_Discount]]+SALCE[[#This Row],[Tax_Value]]</f>
        <v>951.33</v>
      </c>
      <c r="O642" s="10">
        <f>SALCE[[#This Row],[Gross_Sales]]*70%</f>
        <v>700</v>
      </c>
      <c r="P642" s="10">
        <f>SALCE[[#This Row],[Net_Sales]]-SALCE[[#This Row],[Cost_Price]]</f>
        <v>251.33000000000004</v>
      </c>
      <c r="Q642" s="10">
        <f>SALCE[[#This Row],[Gross_Sales]]-SALCE[[#This Row],[Discount_Value]]</f>
        <v>950</v>
      </c>
      <c r="R642" s="15" t="s">
        <v>61</v>
      </c>
      <c r="S642" s="15" t="s">
        <v>21</v>
      </c>
      <c r="T642" s="15" t="s">
        <v>22</v>
      </c>
    </row>
    <row r="643" spans="1:20" s="12" customFormat="1" ht="30" customHeight="1" thickTop="1" thickBot="1" x14ac:dyDescent="0.4">
      <c r="A643" s="7">
        <v>1642</v>
      </c>
      <c r="B643" s="8">
        <v>45934</v>
      </c>
      <c r="C643" s="14" t="s">
        <v>23</v>
      </c>
      <c r="D643" s="14" t="s">
        <v>41</v>
      </c>
      <c r="E643" s="14" t="s">
        <v>33</v>
      </c>
      <c r="F643" s="14" t="s">
        <v>32</v>
      </c>
      <c r="G643" s="7">
        <v>4</v>
      </c>
      <c r="H643" s="7">
        <v>6000</v>
      </c>
      <c r="I643" s="9">
        <v>10</v>
      </c>
      <c r="J643" s="10">
        <f>SALCE[[#This Row],[After_Discount]]*SALCE[[#This Row],[Tax_%]]/100</f>
        <v>30.240000000000006</v>
      </c>
      <c r="K643" s="11">
        <v>0.14000000000000001</v>
      </c>
      <c r="L643" s="10">
        <f>SALCE[[#This Row],[Quantity]]*SALCE[[#This Row],[Unit_Price]]</f>
        <v>24000</v>
      </c>
      <c r="M643" s="10">
        <f>SALCE[[#This Row],[Gross_Sales]]*SALCE[[#This Row],[Discount_%]]/100</f>
        <v>2400</v>
      </c>
      <c r="N643" s="10">
        <f>SALCE[[#This Row],[After_Discount]]+SALCE[[#This Row],[Tax_Value]]</f>
        <v>21630.240000000002</v>
      </c>
      <c r="O643" s="10">
        <f>SALCE[[#This Row],[Gross_Sales]]*70%</f>
        <v>16800</v>
      </c>
      <c r="P643" s="10">
        <f>SALCE[[#This Row],[Net_Sales]]-SALCE[[#This Row],[Cost_Price]]</f>
        <v>4830.2400000000016</v>
      </c>
      <c r="Q643" s="10">
        <f>SALCE[[#This Row],[Gross_Sales]]-SALCE[[#This Row],[Discount_Value]]</f>
        <v>21600</v>
      </c>
      <c r="R643" s="15" t="s">
        <v>62</v>
      </c>
      <c r="S643" s="15" t="s">
        <v>21</v>
      </c>
      <c r="T643" s="15" t="s">
        <v>27</v>
      </c>
    </row>
    <row r="644" spans="1:20" s="12" customFormat="1" ht="30" customHeight="1" thickTop="1" thickBot="1" x14ac:dyDescent="0.4">
      <c r="A644" s="7">
        <v>1643</v>
      </c>
      <c r="B644" s="8">
        <v>45935</v>
      </c>
      <c r="C644" s="14" t="s">
        <v>39</v>
      </c>
      <c r="D644" s="14" t="s">
        <v>36</v>
      </c>
      <c r="E644" s="14" t="s">
        <v>19</v>
      </c>
      <c r="F644" s="14" t="s">
        <v>20</v>
      </c>
      <c r="G644" s="7">
        <v>2</v>
      </c>
      <c r="H644" s="7">
        <v>300</v>
      </c>
      <c r="I644" s="9">
        <v>5</v>
      </c>
      <c r="J644" s="10">
        <f>SALCE[[#This Row],[After_Discount]]*SALCE[[#This Row],[Tax_%]]/100</f>
        <v>0.79800000000000015</v>
      </c>
      <c r="K644" s="11">
        <v>0.14000000000000001</v>
      </c>
      <c r="L644" s="10">
        <f>SALCE[[#This Row],[Quantity]]*SALCE[[#This Row],[Unit_Price]]</f>
        <v>600</v>
      </c>
      <c r="M644" s="10">
        <f>SALCE[[#This Row],[Gross_Sales]]*SALCE[[#This Row],[Discount_%]]/100</f>
        <v>30</v>
      </c>
      <c r="N644" s="10">
        <f>SALCE[[#This Row],[After_Discount]]+SALCE[[#This Row],[Tax_Value]]</f>
        <v>570.798</v>
      </c>
      <c r="O644" s="10">
        <f>SALCE[[#This Row],[Gross_Sales]]*70%</f>
        <v>420</v>
      </c>
      <c r="P644" s="10">
        <f>SALCE[[#This Row],[Net_Sales]]-SALCE[[#This Row],[Cost_Price]]</f>
        <v>150.798</v>
      </c>
      <c r="Q644" s="10">
        <f>SALCE[[#This Row],[Gross_Sales]]-SALCE[[#This Row],[Discount_Value]]</f>
        <v>570</v>
      </c>
      <c r="R644" s="15" t="s">
        <v>54</v>
      </c>
      <c r="S644" s="15" t="s">
        <v>21</v>
      </c>
      <c r="T644" s="15" t="s">
        <v>22</v>
      </c>
    </row>
    <row r="645" spans="1:20" s="12" customFormat="1" ht="30" customHeight="1" thickTop="1" thickBot="1" x14ac:dyDescent="0.4">
      <c r="A645" s="7">
        <v>1644</v>
      </c>
      <c r="B645" s="8">
        <v>45936</v>
      </c>
      <c r="C645" s="14" t="s">
        <v>30</v>
      </c>
      <c r="D645" s="14" t="s">
        <v>41</v>
      </c>
      <c r="E645" s="14" t="s">
        <v>33</v>
      </c>
      <c r="F645" s="14" t="s">
        <v>32</v>
      </c>
      <c r="G645" s="7">
        <v>1</v>
      </c>
      <c r="H645" s="7">
        <v>6000</v>
      </c>
      <c r="I645" s="9">
        <v>0</v>
      </c>
      <c r="J645" s="10">
        <f>SALCE[[#This Row],[After_Discount]]*SALCE[[#This Row],[Tax_%]]/100</f>
        <v>8.4</v>
      </c>
      <c r="K645" s="11">
        <v>0.14000000000000001</v>
      </c>
      <c r="L645" s="10">
        <f>SALCE[[#This Row],[Quantity]]*SALCE[[#This Row],[Unit_Price]]</f>
        <v>6000</v>
      </c>
      <c r="M645" s="10">
        <f>SALCE[[#This Row],[Gross_Sales]]*SALCE[[#This Row],[Discount_%]]/100</f>
        <v>0</v>
      </c>
      <c r="N645" s="10">
        <f>SALCE[[#This Row],[After_Discount]]+SALCE[[#This Row],[Tax_Value]]</f>
        <v>6008.4</v>
      </c>
      <c r="O645" s="10">
        <f>SALCE[[#This Row],[Gross_Sales]]*70%</f>
        <v>4200</v>
      </c>
      <c r="P645" s="10">
        <f>SALCE[[#This Row],[Net_Sales]]-SALCE[[#This Row],[Cost_Price]]</f>
        <v>1808.3999999999996</v>
      </c>
      <c r="Q645" s="10">
        <f>SALCE[[#This Row],[Gross_Sales]]-SALCE[[#This Row],[Discount_Value]]</f>
        <v>6000</v>
      </c>
      <c r="R645" s="15" t="s">
        <v>56</v>
      </c>
      <c r="S645" s="15" t="s">
        <v>26</v>
      </c>
      <c r="T645" s="15" t="s">
        <v>27</v>
      </c>
    </row>
    <row r="646" spans="1:20" s="12" customFormat="1" ht="30" customHeight="1" thickTop="1" thickBot="1" x14ac:dyDescent="0.4">
      <c r="A646" s="7">
        <v>1645</v>
      </c>
      <c r="B646" s="8">
        <v>45937</v>
      </c>
      <c r="C646" s="14" t="s">
        <v>23</v>
      </c>
      <c r="D646" s="14" t="s">
        <v>18</v>
      </c>
      <c r="E646" s="14" t="s">
        <v>31</v>
      </c>
      <c r="F646" s="14" t="s">
        <v>32</v>
      </c>
      <c r="G646" s="7">
        <v>7</v>
      </c>
      <c r="H646" s="7">
        <v>15000</v>
      </c>
      <c r="I646" s="9">
        <v>15</v>
      </c>
      <c r="J646" s="10">
        <f>SALCE[[#This Row],[After_Discount]]*SALCE[[#This Row],[Tax_%]]/100</f>
        <v>124.95000000000002</v>
      </c>
      <c r="K646" s="11">
        <v>0.14000000000000001</v>
      </c>
      <c r="L646" s="10">
        <f>SALCE[[#This Row],[Quantity]]*SALCE[[#This Row],[Unit_Price]]</f>
        <v>105000</v>
      </c>
      <c r="M646" s="10">
        <f>SALCE[[#This Row],[Gross_Sales]]*SALCE[[#This Row],[Discount_%]]/100</f>
        <v>15750</v>
      </c>
      <c r="N646" s="10">
        <f>SALCE[[#This Row],[After_Discount]]+SALCE[[#This Row],[Tax_Value]]</f>
        <v>89374.95</v>
      </c>
      <c r="O646" s="10">
        <f>SALCE[[#This Row],[Gross_Sales]]*70%</f>
        <v>73500</v>
      </c>
      <c r="P646" s="10">
        <f>SALCE[[#This Row],[Net_Sales]]-SALCE[[#This Row],[Cost_Price]]</f>
        <v>15874.949999999997</v>
      </c>
      <c r="Q646" s="10">
        <f>SALCE[[#This Row],[Gross_Sales]]-SALCE[[#This Row],[Discount_Value]]</f>
        <v>89250</v>
      </c>
      <c r="R646" s="15" t="s">
        <v>59</v>
      </c>
      <c r="S646" s="15" t="s">
        <v>37</v>
      </c>
      <c r="T646" s="15" t="s">
        <v>22</v>
      </c>
    </row>
    <row r="647" spans="1:20" s="12" customFormat="1" ht="30" customHeight="1" thickTop="1" thickBot="1" x14ac:dyDescent="0.4">
      <c r="A647" s="7">
        <v>1646</v>
      </c>
      <c r="B647" s="8">
        <v>45938</v>
      </c>
      <c r="C647" s="14" t="s">
        <v>39</v>
      </c>
      <c r="D647" s="14" t="s">
        <v>41</v>
      </c>
      <c r="E647" s="14" t="s">
        <v>33</v>
      </c>
      <c r="F647" s="14" t="s">
        <v>32</v>
      </c>
      <c r="G647" s="7">
        <v>5</v>
      </c>
      <c r="H647" s="7">
        <v>6000</v>
      </c>
      <c r="I647" s="9">
        <v>10</v>
      </c>
      <c r="J647" s="10">
        <f>SALCE[[#This Row],[After_Discount]]*SALCE[[#This Row],[Tax_%]]/100</f>
        <v>37.800000000000004</v>
      </c>
      <c r="K647" s="11">
        <v>0.14000000000000001</v>
      </c>
      <c r="L647" s="10">
        <f>SALCE[[#This Row],[Quantity]]*SALCE[[#This Row],[Unit_Price]]</f>
        <v>30000</v>
      </c>
      <c r="M647" s="10">
        <f>SALCE[[#This Row],[Gross_Sales]]*SALCE[[#This Row],[Discount_%]]/100</f>
        <v>3000</v>
      </c>
      <c r="N647" s="10">
        <f>SALCE[[#This Row],[After_Discount]]+SALCE[[#This Row],[Tax_Value]]</f>
        <v>27037.8</v>
      </c>
      <c r="O647" s="10">
        <f>SALCE[[#This Row],[Gross_Sales]]*70%</f>
        <v>21000</v>
      </c>
      <c r="P647" s="10">
        <f>SALCE[[#This Row],[Net_Sales]]-SALCE[[#This Row],[Cost_Price]]</f>
        <v>6037.7999999999993</v>
      </c>
      <c r="Q647" s="10">
        <f>SALCE[[#This Row],[Gross_Sales]]-SALCE[[#This Row],[Discount_Value]]</f>
        <v>27000</v>
      </c>
      <c r="R647" s="15" t="s">
        <v>62</v>
      </c>
      <c r="S647" s="15" t="s">
        <v>37</v>
      </c>
      <c r="T647" s="15" t="s">
        <v>22</v>
      </c>
    </row>
    <row r="648" spans="1:20" s="12" customFormat="1" ht="30" customHeight="1" thickTop="1" thickBot="1" x14ac:dyDescent="0.4">
      <c r="A648" s="7">
        <v>1647</v>
      </c>
      <c r="B648" s="8">
        <v>45939</v>
      </c>
      <c r="C648" s="14" t="s">
        <v>17</v>
      </c>
      <c r="D648" s="14" t="s">
        <v>18</v>
      </c>
      <c r="E648" s="14" t="s">
        <v>40</v>
      </c>
      <c r="F648" s="14" t="s">
        <v>20</v>
      </c>
      <c r="G648" s="7">
        <v>1</v>
      </c>
      <c r="H648" s="7">
        <v>800</v>
      </c>
      <c r="I648" s="9">
        <v>5</v>
      </c>
      <c r="J648" s="10">
        <f>SALCE[[#This Row],[After_Discount]]*SALCE[[#This Row],[Tax_%]]/100</f>
        <v>1.0640000000000001</v>
      </c>
      <c r="K648" s="11">
        <v>0.14000000000000001</v>
      </c>
      <c r="L648" s="10">
        <f>SALCE[[#This Row],[Quantity]]*SALCE[[#This Row],[Unit_Price]]</f>
        <v>800</v>
      </c>
      <c r="M648" s="10">
        <f>SALCE[[#This Row],[Gross_Sales]]*SALCE[[#This Row],[Discount_%]]/100</f>
        <v>40</v>
      </c>
      <c r="N648" s="10">
        <f>SALCE[[#This Row],[After_Discount]]+SALCE[[#This Row],[Tax_Value]]</f>
        <v>761.06399999999996</v>
      </c>
      <c r="O648" s="10">
        <f>SALCE[[#This Row],[Gross_Sales]]*70%</f>
        <v>560</v>
      </c>
      <c r="P648" s="10">
        <f>SALCE[[#This Row],[Net_Sales]]-SALCE[[#This Row],[Cost_Price]]</f>
        <v>201.06399999999996</v>
      </c>
      <c r="Q648" s="10">
        <f>SALCE[[#This Row],[Gross_Sales]]-SALCE[[#This Row],[Discount_Value]]</f>
        <v>760</v>
      </c>
      <c r="R648" s="15" t="s">
        <v>62</v>
      </c>
      <c r="S648" s="15" t="s">
        <v>21</v>
      </c>
      <c r="T648" s="15" t="s">
        <v>22</v>
      </c>
    </row>
    <row r="649" spans="1:20" s="12" customFormat="1" ht="30" customHeight="1" thickTop="1" thickBot="1" x14ac:dyDescent="0.4">
      <c r="A649" s="7">
        <v>1648</v>
      </c>
      <c r="B649" s="8">
        <v>45940</v>
      </c>
      <c r="C649" s="14" t="s">
        <v>39</v>
      </c>
      <c r="D649" s="14" t="s">
        <v>36</v>
      </c>
      <c r="E649" s="14" t="s">
        <v>31</v>
      </c>
      <c r="F649" s="14" t="s">
        <v>32</v>
      </c>
      <c r="G649" s="7">
        <v>4</v>
      </c>
      <c r="H649" s="7">
        <v>15000</v>
      </c>
      <c r="I649" s="9">
        <v>5</v>
      </c>
      <c r="J649" s="10">
        <f>SALCE[[#This Row],[After_Discount]]*SALCE[[#This Row],[Tax_%]]/100</f>
        <v>79.800000000000011</v>
      </c>
      <c r="K649" s="11">
        <v>0.14000000000000001</v>
      </c>
      <c r="L649" s="10">
        <f>SALCE[[#This Row],[Quantity]]*SALCE[[#This Row],[Unit_Price]]</f>
        <v>60000</v>
      </c>
      <c r="M649" s="10">
        <f>SALCE[[#This Row],[Gross_Sales]]*SALCE[[#This Row],[Discount_%]]/100</f>
        <v>3000</v>
      </c>
      <c r="N649" s="10">
        <f>SALCE[[#This Row],[After_Discount]]+SALCE[[#This Row],[Tax_Value]]</f>
        <v>57079.8</v>
      </c>
      <c r="O649" s="10">
        <f>SALCE[[#This Row],[Gross_Sales]]*70%</f>
        <v>42000</v>
      </c>
      <c r="P649" s="10">
        <f>SALCE[[#This Row],[Net_Sales]]-SALCE[[#This Row],[Cost_Price]]</f>
        <v>15079.800000000003</v>
      </c>
      <c r="Q649" s="10">
        <f>SALCE[[#This Row],[Gross_Sales]]-SALCE[[#This Row],[Discount_Value]]</f>
        <v>57000</v>
      </c>
      <c r="R649" s="15" t="s">
        <v>59</v>
      </c>
      <c r="S649" s="15" t="s">
        <v>26</v>
      </c>
      <c r="T649" s="15" t="s">
        <v>22</v>
      </c>
    </row>
    <row r="650" spans="1:20" s="12" customFormat="1" ht="30" customHeight="1" thickTop="1" thickBot="1" x14ac:dyDescent="0.4">
      <c r="A650" s="7">
        <v>1649</v>
      </c>
      <c r="B650" s="8">
        <v>45941</v>
      </c>
      <c r="C650" s="14" t="s">
        <v>39</v>
      </c>
      <c r="D650" s="14" t="s">
        <v>38</v>
      </c>
      <c r="E650" s="14" t="s">
        <v>31</v>
      </c>
      <c r="F650" s="14" t="s">
        <v>32</v>
      </c>
      <c r="G650" s="7">
        <v>4</v>
      </c>
      <c r="H650" s="7">
        <v>15000</v>
      </c>
      <c r="I650" s="9">
        <v>15</v>
      </c>
      <c r="J650" s="10">
        <f>SALCE[[#This Row],[After_Discount]]*SALCE[[#This Row],[Tax_%]]/100</f>
        <v>71.400000000000006</v>
      </c>
      <c r="K650" s="11">
        <v>0.14000000000000001</v>
      </c>
      <c r="L650" s="10">
        <f>SALCE[[#This Row],[Quantity]]*SALCE[[#This Row],[Unit_Price]]</f>
        <v>60000</v>
      </c>
      <c r="M650" s="10">
        <f>SALCE[[#This Row],[Gross_Sales]]*SALCE[[#This Row],[Discount_%]]/100</f>
        <v>9000</v>
      </c>
      <c r="N650" s="10">
        <f>SALCE[[#This Row],[After_Discount]]+SALCE[[#This Row],[Tax_Value]]</f>
        <v>51071.4</v>
      </c>
      <c r="O650" s="10">
        <f>SALCE[[#This Row],[Gross_Sales]]*70%</f>
        <v>42000</v>
      </c>
      <c r="P650" s="10">
        <f>SALCE[[#This Row],[Net_Sales]]-SALCE[[#This Row],[Cost_Price]]</f>
        <v>9071.4000000000015</v>
      </c>
      <c r="Q650" s="10">
        <f>SALCE[[#This Row],[Gross_Sales]]-SALCE[[#This Row],[Discount_Value]]</f>
        <v>51000</v>
      </c>
      <c r="R650" s="15" t="s">
        <v>54</v>
      </c>
      <c r="S650" s="15" t="s">
        <v>37</v>
      </c>
      <c r="T650" s="15" t="s">
        <v>22</v>
      </c>
    </row>
    <row r="651" spans="1:20" s="12" customFormat="1" ht="30" customHeight="1" thickTop="1" thickBot="1" x14ac:dyDescent="0.4">
      <c r="A651" s="7">
        <v>1650</v>
      </c>
      <c r="B651" s="8">
        <v>45942</v>
      </c>
      <c r="C651" s="14" t="s">
        <v>23</v>
      </c>
      <c r="D651" s="14" t="s">
        <v>41</v>
      </c>
      <c r="E651" s="14" t="s">
        <v>40</v>
      </c>
      <c r="F651" s="14" t="s">
        <v>20</v>
      </c>
      <c r="G651" s="7">
        <v>6</v>
      </c>
      <c r="H651" s="7">
        <v>800</v>
      </c>
      <c r="I651" s="9">
        <v>15</v>
      </c>
      <c r="J651" s="10">
        <f>SALCE[[#This Row],[After_Discount]]*SALCE[[#This Row],[Tax_%]]/100</f>
        <v>5.7120000000000006</v>
      </c>
      <c r="K651" s="11">
        <v>0.14000000000000001</v>
      </c>
      <c r="L651" s="10">
        <f>SALCE[[#This Row],[Quantity]]*SALCE[[#This Row],[Unit_Price]]</f>
        <v>4800</v>
      </c>
      <c r="M651" s="10">
        <f>SALCE[[#This Row],[Gross_Sales]]*SALCE[[#This Row],[Discount_%]]/100</f>
        <v>720</v>
      </c>
      <c r="N651" s="10">
        <f>SALCE[[#This Row],[After_Discount]]+SALCE[[#This Row],[Tax_Value]]</f>
        <v>4085.712</v>
      </c>
      <c r="O651" s="10">
        <f>SALCE[[#This Row],[Gross_Sales]]*70%</f>
        <v>3360</v>
      </c>
      <c r="P651" s="10">
        <f>SALCE[[#This Row],[Net_Sales]]-SALCE[[#This Row],[Cost_Price]]</f>
        <v>725.71199999999999</v>
      </c>
      <c r="Q651" s="10">
        <f>SALCE[[#This Row],[Gross_Sales]]-SALCE[[#This Row],[Discount_Value]]</f>
        <v>4080</v>
      </c>
      <c r="R651" s="15" t="s">
        <v>52</v>
      </c>
      <c r="S651" s="15" t="s">
        <v>21</v>
      </c>
      <c r="T651" s="15" t="s">
        <v>22</v>
      </c>
    </row>
    <row r="652" spans="1:20" s="12" customFormat="1" ht="30" customHeight="1" thickTop="1" thickBot="1" x14ac:dyDescent="0.4">
      <c r="A652" s="7">
        <v>1651</v>
      </c>
      <c r="B652" s="8">
        <v>45943</v>
      </c>
      <c r="C652" s="14" t="s">
        <v>28</v>
      </c>
      <c r="D652" s="14" t="s">
        <v>24</v>
      </c>
      <c r="E652" s="14" t="s">
        <v>34</v>
      </c>
      <c r="F652" s="14" t="s">
        <v>32</v>
      </c>
      <c r="G652" s="7">
        <v>10</v>
      </c>
      <c r="H652" s="7">
        <v>4000</v>
      </c>
      <c r="I652" s="9">
        <v>0</v>
      </c>
      <c r="J652" s="10">
        <f>SALCE[[#This Row],[After_Discount]]*SALCE[[#This Row],[Tax_%]]/100</f>
        <v>56.000000000000007</v>
      </c>
      <c r="K652" s="11">
        <v>0.14000000000000001</v>
      </c>
      <c r="L652" s="10">
        <f>SALCE[[#This Row],[Quantity]]*SALCE[[#This Row],[Unit_Price]]</f>
        <v>40000</v>
      </c>
      <c r="M652" s="10">
        <f>SALCE[[#This Row],[Gross_Sales]]*SALCE[[#This Row],[Discount_%]]/100</f>
        <v>0</v>
      </c>
      <c r="N652" s="10">
        <f>SALCE[[#This Row],[After_Discount]]+SALCE[[#This Row],[Tax_Value]]</f>
        <v>40056</v>
      </c>
      <c r="O652" s="10">
        <f>SALCE[[#This Row],[Gross_Sales]]*70%</f>
        <v>28000</v>
      </c>
      <c r="P652" s="10">
        <f>SALCE[[#This Row],[Net_Sales]]-SALCE[[#This Row],[Cost_Price]]</f>
        <v>12056</v>
      </c>
      <c r="Q652" s="10">
        <f>SALCE[[#This Row],[Gross_Sales]]-SALCE[[#This Row],[Discount_Value]]</f>
        <v>40000</v>
      </c>
      <c r="R652" s="15" t="s">
        <v>53</v>
      </c>
      <c r="S652" s="15" t="s">
        <v>21</v>
      </c>
      <c r="T652" s="15" t="s">
        <v>27</v>
      </c>
    </row>
    <row r="653" spans="1:20" s="12" customFormat="1" ht="30" customHeight="1" thickTop="1" thickBot="1" x14ac:dyDescent="0.4">
      <c r="A653" s="7">
        <v>1652</v>
      </c>
      <c r="B653" s="8">
        <v>45944</v>
      </c>
      <c r="C653" s="14" t="s">
        <v>30</v>
      </c>
      <c r="D653" s="14" t="s">
        <v>41</v>
      </c>
      <c r="E653" s="14" t="s">
        <v>19</v>
      </c>
      <c r="F653" s="14" t="s">
        <v>20</v>
      </c>
      <c r="G653" s="7">
        <v>4</v>
      </c>
      <c r="H653" s="7">
        <v>300</v>
      </c>
      <c r="I653" s="9">
        <v>10</v>
      </c>
      <c r="J653" s="10">
        <f>SALCE[[#This Row],[After_Discount]]*SALCE[[#This Row],[Tax_%]]/100</f>
        <v>1.5120000000000002</v>
      </c>
      <c r="K653" s="11">
        <v>0.14000000000000001</v>
      </c>
      <c r="L653" s="10">
        <f>SALCE[[#This Row],[Quantity]]*SALCE[[#This Row],[Unit_Price]]</f>
        <v>1200</v>
      </c>
      <c r="M653" s="10">
        <f>SALCE[[#This Row],[Gross_Sales]]*SALCE[[#This Row],[Discount_%]]/100</f>
        <v>120</v>
      </c>
      <c r="N653" s="10">
        <f>SALCE[[#This Row],[After_Discount]]+SALCE[[#This Row],[Tax_Value]]</f>
        <v>1081.5119999999999</v>
      </c>
      <c r="O653" s="10">
        <f>SALCE[[#This Row],[Gross_Sales]]*70%</f>
        <v>840</v>
      </c>
      <c r="P653" s="10">
        <f>SALCE[[#This Row],[Net_Sales]]-SALCE[[#This Row],[Cost_Price]]</f>
        <v>241.51199999999994</v>
      </c>
      <c r="Q653" s="10">
        <f>SALCE[[#This Row],[Gross_Sales]]-SALCE[[#This Row],[Discount_Value]]</f>
        <v>1080</v>
      </c>
      <c r="R653" s="15" t="s">
        <v>61</v>
      </c>
      <c r="S653" s="15" t="s">
        <v>26</v>
      </c>
      <c r="T653" s="15" t="s">
        <v>22</v>
      </c>
    </row>
    <row r="654" spans="1:20" s="12" customFormat="1" ht="30" customHeight="1" thickTop="1" thickBot="1" x14ac:dyDescent="0.4">
      <c r="A654" s="7">
        <v>1653</v>
      </c>
      <c r="B654" s="8">
        <v>45945</v>
      </c>
      <c r="C654" s="14" t="s">
        <v>17</v>
      </c>
      <c r="D654" s="14" t="s">
        <v>24</v>
      </c>
      <c r="E654" s="14" t="s">
        <v>19</v>
      </c>
      <c r="F654" s="14" t="s">
        <v>20</v>
      </c>
      <c r="G654" s="7">
        <v>7</v>
      </c>
      <c r="H654" s="7">
        <v>300</v>
      </c>
      <c r="I654" s="9">
        <v>5</v>
      </c>
      <c r="J654" s="10">
        <f>SALCE[[#This Row],[After_Discount]]*SALCE[[#This Row],[Tax_%]]/100</f>
        <v>2.7930000000000001</v>
      </c>
      <c r="K654" s="11">
        <v>0.14000000000000001</v>
      </c>
      <c r="L654" s="10">
        <f>SALCE[[#This Row],[Quantity]]*SALCE[[#This Row],[Unit_Price]]</f>
        <v>2100</v>
      </c>
      <c r="M654" s="10">
        <f>SALCE[[#This Row],[Gross_Sales]]*SALCE[[#This Row],[Discount_%]]/100</f>
        <v>105</v>
      </c>
      <c r="N654" s="10">
        <f>SALCE[[#This Row],[After_Discount]]+SALCE[[#This Row],[Tax_Value]]</f>
        <v>1997.7929999999999</v>
      </c>
      <c r="O654" s="10">
        <f>SALCE[[#This Row],[Gross_Sales]]*70%</f>
        <v>1470</v>
      </c>
      <c r="P654" s="10">
        <f>SALCE[[#This Row],[Net_Sales]]-SALCE[[#This Row],[Cost_Price]]</f>
        <v>527.79299999999989</v>
      </c>
      <c r="Q654" s="10">
        <f>SALCE[[#This Row],[Gross_Sales]]-SALCE[[#This Row],[Discount_Value]]</f>
        <v>1995</v>
      </c>
      <c r="R654" s="15" t="s">
        <v>61</v>
      </c>
      <c r="S654" s="15" t="s">
        <v>21</v>
      </c>
      <c r="T654" s="15" t="s">
        <v>27</v>
      </c>
    </row>
    <row r="655" spans="1:20" s="12" customFormat="1" ht="30" customHeight="1" thickTop="1" thickBot="1" x14ac:dyDescent="0.4">
      <c r="A655" s="7">
        <v>1654</v>
      </c>
      <c r="B655" s="8">
        <v>45946</v>
      </c>
      <c r="C655" s="14" t="s">
        <v>30</v>
      </c>
      <c r="D655" s="14" t="s">
        <v>41</v>
      </c>
      <c r="E655" s="14" t="s">
        <v>25</v>
      </c>
      <c r="F655" s="14" t="s">
        <v>20</v>
      </c>
      <c r="G655" s="7">
        <v>6</v>
      </c>
      <c r="H655" s="7">
        <v>500</v>
      </c>
      <c r="I655" s="9">
        <v>0</v>
      </c>
      <c r="J655" s="10">
        <f>SALCE[[#This Row],[After_Discount]]*SALCE[[#This Row],[Tax_%]]/100</f>
        <v>4.2</v>
      </c>
      <c r="K655" s="11">
        <v>0.14000000000000001</v>
      </c>
      <c r="L655" s="10">
        <f>SALCE[[#This Row],[Quantity]]*SALCE[[#This Row],[Unit_Price]]</f>
        <v>3000</v>
      </c>
      <c r="M655" s="10">
        <f>SALCE[[#This Row],[Gross_Sales]]*SALCE[[#This Row],[Discount_%]]/100</f>
        <v>0</v>
      </c>
      <c r="N655" s="10">
        <f>SALCE[[#This Row],[After_Discount]]+SALCE[[#This Row],[Tax_Value]]</f>
        <v>3004.2</v>
      </c>
      <c r="O655" s="10">
        <f>SALCE[[#This Row],[Gross_Sales]]*70%</f>
        <v>2100</v>
      </c>
      <c r="P655" s="10">
        <f>SALCE[[#This Row],[Net_Sales]]-SALCE[[#This Row],[Cost_Price]]</f>
        <v>904.19999999999982</v>
      </c>
      <c r="Q655" s="10">
        <f>SALCE[[#This Row],[Gross_Sales]]-SALCE[[#This Row],[Discount_Value]]</f>
        <v>3000</v>
      </c>
      <c r="R655" s="15" t="s">
        <v>59</v>
      </c>
      <c r="S655" s="15" t="s">
        <v>37</v>
      </c>
      <c r="T655" s="15" t="s">
        <v>27</v>
      </c>
    </row>
    <row r="656" spans="1:20" s="12" customFormat="1" ht="30" customHeight="1" thickTop="1" thickBot="1" x14ac:dyDescent="0.4">
      <c r="A656" s="7">
        <v>1655</v>
      </c>
      <c r="B656" s="8">
        <v>45947</v>
      </c>
      <c r="C656" s="14" t="s">
        <v>39</v>
      </c>
      <c r="D656" s="14" t="s">
        <v>41</v>
      </c>
      <c r="E656" s="14" t="s">
        <v>19</v>
      </c>
      <c r="F656" s="14" t="s">
        <v>20</v>
      </c>
      <c r="G656" s="7">
        <v>8</v>
      </c>
      <c r="H656" s="7">
        <v>300</v>
      </c>
      <c r="I656" s="9">
        <v>15</v>
      </c>
      <c r="J656" s="10">
        <f>SALCE[[#This Row],[After_Discount]]*SALCE[[#This Row],[Tax_%]]/100</f>
        <v>2.8560000000000003</v>
      </c>
      <c r="K656" s="11">
        <v>0.14000000000000001</v>
      </c>
      <c r="L656" s="10">
        <f>SALCE[[#This Row],[Quantity]]*SALCE[[#This Row],[Unit_Price]]</f>
        <v>2400</v>
      </c>
      <c r="M656" s="10">
        <f>SALCE[[#This Row],[Gross_Sales]]*SALCE[[#This Row],[Discount_%]]/100</f>
        <v>360</v>
      </c>
      <c r="N656" s="10">
        <f>SALCE[[#This Row],[After_Discount]]+SALCE[[#This Row],[Tax_Value]]</f>
        <v>2042.856</v>
      </c>
      <c r="O656" s="10">
        <f>SALCE[[#This Row],[Gross_Sales]]*70%</f>
        <v>1680</v>
      </c>
      <c r="P656" s="10">
        <f>SALCE[[#This Row],[Net_Sales]]-SALCE[[#This Row],[Cost_Price]]</f>
        <v>362.85599999999999</v>
      </c>
      <c r="Q656" s="10">
        <f>SALCE[[#This Row],[Gross_Sales]]-SALCE[[#This Row],[Discount_Value]]</f>
        <v>2040</v>
      </c>
      <c r="R656" s="15" t="s">
        <v>58</v>
      </c>
      <c r="S656" s="15" t="s">
        <v>21</v>
      </c>
      <c r="T656" s="15" t="s">
        <v>22</v>
      </c>
    </row>
    <row r="657" spans="1:20" s="12" customFormat="1" ht="30" customHeight="1" thickTop="1" thickBot="1" x14ac:dyDescent="0.4">
      <c r="A657" s="7">
        <v>1656</v>
      </c>
      <c r="B657" s="8">
        <v>45948</v>
      </c>
      <c r="C657" s="14" t="s">
        <v>30</v>
      </c>
      <c r="D657" s="14" t="s">
        <v>38</v>
      </c>
      <c r="E657" s="14" t="s">
        <v>34</v>
      </c>
      <c r="F657" s="14" t="s">
        <v>32</v>
      </c>
      <c r="G657" s="7">
        <v>8</v>
      </c>
      <c r="H657" s="7">
        <v>4000</v>
      </c>
      <c r="I657" s="9">
        <v>5</v>
      </c>
      <c r="J657" s="10">
        <f>SALCE[[#This Row],[After_Discount]]*SALCE[[#This Row],[Tax_%]]/100</f>
        <v>42.56</v>
      </c>
      <c r="K657" s="11">
        <v>0.14000000000000001</v>
      </c>
      <c r="L657" s="10">
        <f>SALCE[[#This Row],[Quantity]]*SALCE[[#This Row],[Unit_Price]]</f>
        <v>32000</v>
      </c>
      <c r="M657" s="10">
        <f>SALCE[[#This Row],[Gross_Sales]]*SALCE[[#This Row],[Discount_%]]/100</f>
        <v>1600</v>
      </c>
      <c r="N657" s="10">
        <f>SALCE[[#This Row],[After_Discount]]+SALCE[[#This Row],[Tax_Value]]</f>
        <v>30442.560000000001</v>
      </c>
      <c r="O657" s="10">
        <f>SALCE[[#This Row],[Gross_Sales]]*70%</f>
        <v>22400</v>
      </c>
      <c r="P657" s="10">
        <f>SALCE[[#This Row],[Net_Sales]]-SALCE[[#This Row],[Cost_Price]]</f>
        <v>8042.5600000000013</v>
      </c>
      <c r="Q657" s="10">
        <f>SALCE[[#This Row],[Gross_Sales]]-SALCE[[#This Row],[Discount_Value]]</f>
        <v>30400</v>
      </c>
      <c r="R657" s="15" t="s">
        <v>49</v>
      </c>
      <c r="S657" s="15" t="s">
        <v>21</v>
      </c>
      <c r="T657" s="15" t="s">
        <v>27</v>
      </c>
    </row>
    <row r="658" spans="1:20" s="12" customFormat="1" ht="30" customHeight="1" thickTop="1" thickBot="1" x14ac:dyDescent="0.4">
      <c r="A658" s="7">
        <v>1657</v>
      </c>
      <c r="B658" s="8">
        <v>45949</v>
      </c>
      <c r="C658" s="14" t="s">
        <v>28</v>
      </c>
      <c r="D658" s="14" t="s">
        <v>36</v>
      </c>
      <c r="E658" s="14" t="s">
        <v>19</v>
      </c>
      <c r="F658" s="14" t="s">
        <v>20</v>
      </c>
      <c r="G658" s="7">
        <v>7</v>
      </c>
      <c r="H658" s="7">
        <v>300</v>
      </c>
      <c r="I658" s="9">
        <v>0</v>
      </c>
      <c r="J658" s="10">
        <f>SALCE[[#This Row],[After_Discount]]*SALCE[[#This Row],[Tax_%]]/100</f>
        <v>2.94</v>
      </c>
      <c r="K658" s="11">
        <v>0.14000000000000001</v>
      </c>
      <c r="L658" s="10">
        <f>SALCE[[#This Row],[Quantity]]*SALCE[[#This Row],[Unit_Price]]</f>
        <v>2100</v>
      </c>
      <c r="M658" s="10">
        <f>SALCE[[#This Row],[Gross_Sales]]*SALCE[[#This Row],[Discount_%]]/100</f>
        <v>0</v>
      </c>
      <c r="N658" s="10">
        <f>SALCE[[#This Row],[After_Discount]]+SALCE[[#This Row],[Tax_Value]]</f>
        <v>2102.94</v>
      </c>
      <c r="O658" s="10">
        <f>SALCE[[#This Row],[Gross_Sales]]*70%</f>
        <v>1470</v>
      </c>
      <c r="P658" s="10">
        <f>SALCE[[#This Row],[Net_Sales]]-SALCE[[#This Row],[Cost_Price]]</f>
        <v>632.94000000000005</v>
      </c>
      <c r="Q658" s="10">
        <f>SALCE[[#This Row],[Gross_Sales]]-SALCE[[#This Row],[Discount_Value]]</f>
        <v>2100</v>
      </c>
      <c r="R658" s="15" t="s">
        <v>59</v>
      </c>
      <c r="S658" s="15" t="s">
        <v>21</v>
      </c>
      <c r="T658" s="15" t="s">
        <v>27</v>
      </c>
    </row>
    <row r="659" spans="1:20" s="12" customFormat="1" ht="30" customHeight="1" thickTop="1" thickBot="1" x14ac:dyDescent="0.4">
      <c r="A659" s="7">
        <v>1658</v>
      </c>
      <c r="B659" s="8">
        <v>45950</v>
      </c>
      <c r="C659" s="14" t="s">
        <v>39</v>
      </c>
      <c r="D659" s="14" t="s">
        <v>24</v>
      </c>
      <c r="E659" s="14" t="s">
        <v>19</v>
      </c>
      <c r="F659" s="14" t="s">
        <v>20</v>
      </c>
      <c r="G659" s="7">
        <v>4</v>
      </c>
      <c r="H659" s="7">
        <v>300</v>
      </c>
      <c r="I659" s="9">
        <v>5</v>
      </c>
      <c r="J659" s="10">
        <f>SALCE[[#This Row],[After_Discount]]*SALCE[[#This Row],[Tax_%]]/100</f>
        <v>1.5960000000000003</v>
      </c>
      <c r="K659" s="11">
        <v>0.14000000000000001</v>
      </c>
      <c r="L659" s="10">
        <f>SALCE[[#This Row],[Quantity]]*SALCE[[#This Row],[Unit_Price]]</f>
        <v>1200</v>
      </c>
      <c r="M659" s="10">
        <f>SALCE[[#This Row],[Gross_Sales]]*SALCE[[#This Row],[Discount_%]]/100</f>
        <v>60</v>
      </c>
      <c r="N659" s="10">
        <f>SALCE[[#This Row],[After_Discount]]+SALCE[[#This Row],[Tax_Value]]</f>
        <v>1141.596</v>
      </c>
      <c r="O659" s="10">
        <f>SALCE[[#This Row],[Gross_Sales]]*70%</f>
        <v>840</v>
      </c>
      <c r="P659" s="10">
        <f>SALCE[[#This Row],[Net_Sales]]-SALCE[[#This Row],[Cost_Price]]</f>
        <v>301.596</v>
      </c>
      <c r="Q659" s="10">
        <f>SALCE[[#This Row],[Gross_Sales]]-SALCE[[#This Row],[Discount_Value]]</f>
        <v>1140</v>
      </c>
      <c r="R659" s="15" t="s">
        <v>52</v>
      </c>
      <c r="S659" s="15" t="s">
        <v>37</v>
      </c>
      <c r="T659" s="15" t="s">
        <v>27</v>
      </c>
    </row>
    <row r="660" spans="1:20" s="12" customFormat="1" ht="30" customHeight="1" thickTop="1" thickBot="1" x14ac:dyDescent="0.4">
      <c r="A660" s="7">
        <v>1659</v>
      </c>
      <c r="B660" s="8">
        <v>45951</v>
      </c>
      <c r="C660" s="14" t="s">
        <v>17</v>
      </c>
      <c r="D660" s="14" t="s">
        <v>38</v>
      </c>
      <c r="E660" s="14" t="s">
        <v>40</v>
      </c>
      <c r="F660" s="14" t="s">
        <v>20</v>
      </c>
      <c r="G660" s="7">
        <v>2</v>
      </c>
      <c r="H660" s="7">
        <v>800</v>
      </c>
      <c r="I660" s="9">
        <v>10</v>
      </c>
      <c r="J660" s="10">
        <f>SALCE[[#This Row],[After_Discount]]*SALCE[[#This Row],[Tax_%]]/100</f>
        <v>2.016</v>
      </c>
      <c r="K660" s="11">
        <v>0.14000000000000001</v>
      </c>
      <c r="L660" s="10">
        <f>SALCE[[#This Row],[Quantity]]*SALCE[[#This Row],[Unit_Price]]</f>
        <v>1600</v>
      </c>
      <c r="M660" s="10">
        <f>SALCE[[#This Row],[Gross_Sales]]*SALCE[[#This Row],[Discount_%]]/100</f>
        <v>160</v>
      </c>
      <c r="N660" s="10">
        <f>SALCE[[#This Row],[After_Discount]]+SALCE[[#This Row],[Tax_Value]]</f>
        <v>1442.0160000000001</v>
      </c>
      <c r="O660" s="10">
        <f>SALCE[[#This Row],[Gross_Sales]]*70%</f>
        <v>1120</v>
      </c>
      <c r="P660" s="10">
        <f>SALCE[[#This Row],[Net_Sales]]-SALCE[[#This Row],[Cost_Price]]</f>
        <v>322.01600000000008</v>
      </c>
      <c r="Q660" s="10">
        <f>SALCE[[#This Row],[Gross_Sales]]-SALCE[[#This Row],[Discount_Value]]</f>
        <v>1440</v>
      </c>
      <c r="R660" s="15" t="s">
        <v>53</v>
      </c>
      <c r="S660" s="15" t="s">
        <v>37</v>
      </c>
      <c r="T660" s="15" t="s">
        <v>22</v>
      </c>
    </row>
    <row r="661" spans="1:20" s="12" customFormat="1" ht="30" customHeight="1" thickTop="1" thickBot="1" x14ac:dyDescent="0.4">
      <c r="A661" s="7">
        <v>1660</v>
      </c>
      <c r="B661" s="8">
        <v>45952</v>
      </c>
      <c r="C661" s="14" t="s">
        <v>17</v>
      </c>
      <c r="D661" s="14" t="s">
        <v>36</v>
      </c>
      <c r="E661" s="14" t="s">
        <v>33</v>
      </c>
      <c r="F661" s="14" t="s">
        <v>32</v>
      </c>
      <c r="G661" s="7">
        <v>7</v>
      </c>
      <c r="H661" s="7">
        <v>6000</v>
      </c>
      <c r="I661" s="9">
        <v>5</v>
      </c>
      <c r="J661" s="10">
        <f>SALCE[[#This Row],[After_Discount]]*SALCE[[#This Row],[Tax_%]]/100</f>
        <v>55.860000000000007</v>
      </c>
      <c r="K661" s="11">
        <v>0.14000000000000001</v>
      </c>
      <c r="L661" s="10">
        <f>SALCE[[#This Row],[Quantity]]*SALCE[[#This Row],[Unit_Price]]</f>
        <v>42000</v>
      </c>
      <c r="M661" s="10">
        <f>SALCE[[#This Row],[Gross_Sales]]*SALCE[[#This Row],[Discount_%]]/100</f>
        <v>2100</v>
      </c>
      <c r="N661" s="10">
        <f>SALCE[[#This Row],[After_Discount]]+SALCE[[#This Row],[Tax_Value]]</f>
        <v>39955.86</v>
      </c>
      <c r="O661" s="10">
        <f>SALCE[[#This Row],[Gross_Sales]]*70%</f>
        <v>29399.999999999996</v>
      </c>
      <c r="P661" s="10">
        <f>SALCE[[#This Row],[Net_Sales]]-SALCE[[#This Row],[Cost_Price]]</f>
        <v>10555.860000000004</v>
      </c>
      <c r="Q661" s="10">
        <f>SALCE[[#This Row],[Gross_Sales]]-SALCE[[#This Row],[Discount_Value]]</f>
        <v>39900</v>
      </c>
      <c r="R661" s="15" t="s">
        <v>47</v>
      </c>
      <c r="S661" s="15" t="s">
        <v>21</v>
      </c>
      <c r="T661" s="15" t="s">
        <v>27</v>
      </c>
    </row>
    <row r="662" spans="1:20" s="12" customFormat="1" ht="30" customHeight="1" thickTop="1" thickBot="1" x14ac:dyDescent="0.4">
      <c r="A662" s="7">
        <v>1661</v>
      </c>
      <c r="B662" s="8">
        <v>45953</v>
      </c>
      <c r="C662" s="14" t="s">
        <v>30</v>
      </c>
      <c r="D662" s="14" t="s">
        <v>18</v>
      </c>
      <c r="E662" s="14" t="s">
        <v>34</v>
      </c>
      <c r="F662" s="14" t="s">
        <v>32</v>
      </c>
      <c r="G662" s="7">
        <v>3</v>
      </c>
      <c r="H662" s="7">
        <v>4000</v>
      </c>
      <c r="I662" s="9">
        <v>5</v>
      </c>
      <c r="J662" s="10">
        <f>SALCE[[#This Row],[After_Discount]]*SALCE[[#This Row],[Tax_%]]/100</f>
        <v>15.960000000000003</v>
      </c>
      <c r="K662" s="11">
        <v>0.14000000000000001</v>
      </c>
      <c r="L662" s="10">
        <f>SALCE[[#This Row],[Quantity]]*SALCE[[#This Row],[Unit_Price]]</f>
        <v>12000</v>
      </c>
      <c r="M662" s="10">
        <f>SALCE[[#This Row],[Gross_Sales]]*SALCE[[#This Row],[Discount_%]]/100</f>
        <v>600</v>
      </c>
      <c r="N662" s="10">
        <f>SALCE[[#This Row],[After_Discount]]+SALCE[[#This Row],[Tax_Value]]</f>
        <v>11415.96</v>
      </c>
      <c r="O662" s="10">
        <f>SALCE[[#This Row],[Gross_Sales]]*70%</f>
        <v>8400</v>
      </c>
      <c r="P662" s="10">
        <f>SALCE[[#This Row],[Net_Sales]]-SALCE[[#This Row],[Cost_Price]]</f>
        <v>3015.9599999999991</v>
      </c>
      <c r="Q662" s="10">
        <f>SALCE[[#This Row],[Gross_Sales]]-SALCE[[#This Row],[Discount_Value]]</f>
        <v>11400</v>
      </c>
      <c r="R662" s="15" t="s">
        <v>54</v>
      </c>
      <c r="S662" s="15" t="s">
        <v>21</v>
      </c>
      <c r="T662" s="15" t="s">
        <v>22</v>
      </c>
    </row>
    <row r="663" spans="1:20" s="12" customFormat="1" ht="30" customHeight="1" thickTop="1" thickBot="1" x14ac:dyDescent="0.4">
      <c r="A663" s="7">
        <v>1662</v>
      </c>
      <c r="B663" s="8">
        <v>45954</v>
      </c>
      <c r="C663" s="14" t="s">
        <v>30</v>
      </c>
      <c r="D663" s="14" t="s">
        <v>18</v>
      </c>
      <c r="E663" s="14" t="s">
        <v>19</v>
      </c>
      <c r="F663" s="14" t="s">
        <v>20</v>
      </c>
      <c r="G663" s="7">
        <v>2</v>
      </c>
      <c r="H663" s="7">
        <v>300</v>
      </c>
      <c r="I663" s="9">
        <v>5</v>
      </c>
      <c r="J663" s="10">
        <f>SALCE[[#This Row],[After_Discount]]*SALCE[[#This Row],[Tax_%]]/100</f>
        <v>0.79800000000000015</v>
      </c>
      <c r="K663" s="11">
        <v>0.14000000000000001</v>
      </c>
      <c r="L663" s="10">
        <f>SALCE[[#This Row],[Quantity]]*SALCE[[#This Row],[Unit_Price]]</f>
        <v>600</v>
      </c>
      <c r="M663" s="10">
        <f>SALCE[[#This Row],[Gross_Sales]]*SALCE[[#This Row],[Discount_%]]/100</f>
        <v>30</v>
      </c>
      <c r="N663" s="10">
        <f>SALCE[[#This Row],[After_Discount]]+SALCE[[#This Row],[Tax_Value]]</f>
        <v>570.798</v>
      </c>
      <c r="O663" s="10">
        <f>SALCE[[#This Row],[Gross_Sales]]*70%</f>
        <v>420</v>
      </c>
      <c r="P663" s="10">
        <f>SALCE[[#This Row],[Net_Sales]]-SALCE[[#This Row],[Cost_Price]]</f>
        <v>150.798</v>
      </c>
      <c r="Q663" s="10">
        <f>SALCE[[#This Row],[Gross_Sales]]-SALCE[[#This Row],[Discount_Value]]</f>
        <v>570</v>
      </c>
      <c r="R663" s="15" t="s">
        <v>57</v>
      </c>
      <c r="S663" s="15" t="s">
        <v>37</v>
      </c>
      <c r="T663" s="15" t="s">
        <v>22</v>
      </c>
    </row>
    <row r="664" spans="1:20" s="12" customFormat="1" ht="30" customHeight="1" thickTop="1" thickBot="1" x14ac:dyDescent="0.4">
      <c r="A664" s="7">
        <v>1663</v>
      </c>
      <c r="B664" s="8">
        <v>45955</v>
      </c>
      <c r="C664" s="14" t="s">
        <v>28</v>
      </c>
      <c r="D664" s="14" t="s">
        <v>18</v>
      </c>
      <c r="E664" s="14" t="s">
        <v>33</v>
      </c>
      <c r="F664" s="14" t="s">
        <v>32</v>
      </c>
      <c r="G664" s="7">
        <v>1</v>
      </c>
      <c r="H664" s="7">
        <v>6000</v>
      </c>
      <c r="I664" s="9">
        <v>0</v>
      </c>
      <c r="J664" s="10">
        <f>SALCE[[#This Row],[After_Discount]]*SALCE[[#This Row],[Tax_%]]/100</f>
        <v>8.4</v>
      </c>
      <c r="K664" s="11">
        <v>0.14000000000000001</v>
      </c>
      <c r="L664" s="10">
        <f>SALCE[[#This Row],[Quantity]]*SALCE[[#This Row],[Unit_Price]]</f>
        <v>6000</v>
      </c>
      <c r="M664" s="10">
        <f>SALCE[[#This Row],[Gross_Sales]]*SALCE[[#This Row],[Discount_%]]/100</f>
        <v>0</v>
      </c>
      <c r="N664" s="10">
        <f>SALCE[[#This Row],[After_Discount]]+SALCE[[#This Row],[Tax_Value]]</f>
        <v>6008.4</v>
      </c>
      <c r="O664" s="10">
        <f>SALCE[[#This Row],[Gross_Sales]]*70%</f>
        <v>4200</v>
      </c>
      <c r="P664" s="10">
        <f>SALCE[[#This Row],[Net_Sales]]-SALCE[[#This Row],[Cost_Price]]</f>
        <v>1808.3999999999996</v>
      </c>
      <c r="Q664" s="10">
        <f>SALCE[[#This Row],[Gross_Sales]]-SALCE[[#This Row],[Discount_Value]]</f>
        <v>6000</v>
      </c>
      <c r="R664" s="15" t="s">
        <v>62</v>
      </c>
      <c r="S664" s="15" t="s">
        <v>26</v>
      </c>
      <c r="T664" s="15" t="s">
        <v>22</v>
      </c>
    </row>
    <row r="665" spans="1:20" s="12" customFormat="1" ht="30" customHeight="1" thickTop="1" thickBot="1" x14ac:dyDescent="0.4">
      <c r="A665" s="7">
        <v>1664</v>
      </c>
      <c r="B665" s="8">
        <v>45956</v>
      </c>
      <c r="C665" s="14" t="s">
        <v>23</v>
      </c>
      <c r="D665" s="14" t="s">
        <v>18</v>
      </c>
      <c r="E665" s="14" t="s">
        <v>19</v>
      </c>
      <c r="F665" s="14" t="s">
        <v>20</v>
      </c>
      <c r="G665" s="7">
        <v>6</v>
      </c>
      <c r="H665" s="7">
        <v>300</v>
      </c>
      <c r="I665" s="9">
        <v>10</v>
      </c>
      <c r="J665" s="10">
        <f>SALCE[[#This Row],[After_Discount]]*SALCE[[#This Row],[Tax_%]]/100</f>
        <v>2.2680000000000002</v>
      </c>
      <c r="K665" s="11">
        <v>0.14000000000000001</v>
      </c>
      <c r="L665" s="10">
        <f>SALCE[[#This Row],[Quantity]]*SALCE[[#This Row],[Unit_Price]]</f>
        <v>1800</v>
      </c>
      <c r="M665" s="10">
        <f>SALCE[[#This Row],[Gross_Sales]]*SALCE[[#This Row],[Discount_%]]/100</f>
        <v>180</v>
      </c>
      <c r="N665" s="10">
        <f>SALCE[[#This Row],[After_Discount]]+SALCE[[#This Row],[Tax_Value]]</f>
        <v>1622.268</v>
      </c>
      <c r="O665" s="10">
        <f>SALCE[[#This Row],[Gross_Sales]]*70%</f>
        <v>1260</v>
      </c>
      <c r="P665" s="10">
        <f>SALCE[[#This Row],[Net_Sales]]-SALCE[[#This Row],[Cost_Price]]</f>
        <v>362.26800000000003</v>
      </c>
      <c r="Q665" s="10">
        <f>SALCE[[#This Row],[Gross_Sales]]-SALCE[[#This Row],[Discount_Value]]</f>
        <v>1620</v>
      </c>
      <c r="R665" s="15" t="s">
        <v>53</v>
      </c>
      <c r="S665" s="15" t="s">
        <v>21</v>
      </c>
      <c r="T665" s="15" t="s">
        <v>27</v>
      </c>
    </row>
    <row r="666" spans="1:20" s="12" customFormat="1" ht="30" customHeight="1" thickTop="1" thickBot="1" x14ac:dyDescent="0.4">
      <c r="A666" s="7">
        <v>1665</v>
      </c>
      <c r="B666" s="8">
        <v>45957</v>
      </c>
      <c r="C666" s="14" t="s">
        <v>17</v>
      </c>
      <c r="D666" s="14" t="s">
        <v>41</v>
      </c>
      <c r="E666" s="14" t="s">
        <v>40</v>
      </c>
      <c r="F666" s="14" t="s">
        <v>20</v>
      </c>
      <c r="G666" s="7">
        <v>1</v>
      </c>
      <c r="H666" s="7">
        <v>800</v>
      </c>
      <c r="I666" s="9">
        <v>0</v>
      </c>
      <c r="J666" s="10">
        <f>SALCE[[#This Row],[After_Discount]]*SALCE[[#This Row],[Tax_%]]/100</f>
        <v>1.1200000000000001</v>
      </c>
      <c r="K666" s="11">
        <v>0.14000000000000001</v>
      </c>
      <c r="L666" s="10">
        <f>SALCE[[#This Row],[Quantity]]*SALCE[[#This Row],[Unit_Price]]</f>
        <v>800</v>
      </c>
      <c r="M666" s="10">
        <f>SALCE[[#This Row],[Gross_Sales]]*SALCE[[#This Row],[Discount_%]]/100</f>
        <v>0</v>
      </c>
      <c r="N666" s="10">
        <f>SALCE[[#This Row],[After_Discount]]+SALCE[[#This Row],[Tax_Value]]</f>
        <v>801.12</v>
      </c>
      <c r="O666" s="10">
        <f>SALCE[[#This Row],[Gross_Sales]]*70%</f>
        <v>560</v>
      </c>
      <c r="P666" s="10">
        <f>SALCE[[#This Row],[Net_Sales]]-SALCE[[#This Row],[Cost_Price]]</f>
        <v>241.12</v>
      </c>
      <c r="Q666" s="10">
        <f>SALCE[[#This Row],[Gross_Sales]]-SALCE[[#This Row],[Discount_Value]]</f>
        <v>800</v>
      </c>
      <c r="R666" s="15" t="s">
        <v>49</v>
      </c>
      <c r="S666" s="15" t="s">
        <v>37</v>
      </c>
      <c r="T666" s="15" t="s">
        <v>22</v>
      </c>
    </row>
    <row r="667" spans="1:20" s="12" customFormat="1" ht="30" customHeight="1" thickTop="1" thickBot="1" x14ac:dyDescent="0.4">
      <c r="A667" s="7">
        <v>1666</v>
      </c>
      <c r="B667" s="8">
        <v>45958</v>
      </c>
      <c r="C667" s="14" t="s">
        <v>23</v>
      </c>
      <c r="D667" s="14" t="s">
        <v>18</v>
      </c>
      <c r="E667" s="14" t="s">
        <v>40</v>
      </c>
      <c r="F667" s="14" t="s">
        <v>20</v>
      </c>
      <c r="G667" s="7">
        <v>6</v>
      </c>
      <c r="H667" s="7">
        <v>800</v>
      </c>
      <c r="I667" s="9">
        <v>0</v>
      </c>
      <c r="J667" s="10">
        <f>SALCE[[#This Row],[After_Discount]]*SALCE[[#This Row],[Tax_%]]/100</f>
        <v>6.7200000000000015</v>
      </c>
      <c r="K667" s="11">
        <v>0.14000000000000001</v>
      </c>
      <c r="L667" s="10">
        <f>SALCE[[#This Row],[Quantity]]*SALCE[[#This Row],[Unit_Price]]</f>
        <v>4800</v>
      </c>
      <c r="M667" s="10">
        <f>SALCE[[#This Row],[Gross_Sales]]*SALCE[[#This Row],[Discount_%]]/100</f>
        <v>0</v>
      </c>
      <c r="N667" s="10">
        <f>SALCE[[#This Row],[After_Discount]]+SALCE[[#This Row],[Tax_Value]]</f>
        <v>4806.72</v>
      </c>
      <c r="O667" s="10">
        <f>SALCE[[#This Row],[Gross_Sales]]*70%</f>
        <v>3360</v>
      </c>
      <c r="P667" s="10">
        <f>SALCE[[#This Row],[Net_Sales]]-SALCE[[#This Row],[Cost_Price]]</f>
        <v>1446.7200000000003</v>
      </c>
      <c r="Q667" s="10">
        <f>SALCE[[#This Row],[Gross_Sales]]-SALCE[[#This Row],[Discount_Value]]</f>
        <v>4800</v>
      </c>
      <c r="R667" s="15" t="s">
        <v>52</v>
      </c>
      <c r="S667" s="15" t="s">
        <v>37</v>
      </c>
      <c r="T667" s="15" t="s">
        <v>22</v>
      </c>
    </row>
    <row r="668" spans="1:20" s="12" customFormat="1" ht="30" customHeight="1" thickTop="1" thickBot="1" x14ac:dyDescent="0.4">
      <c r="A668" s="7">
        <v>1667</v>
      </c>
      <c r="B668" s="8">
        <v>45959</v>
      </c>
      <c r="C668" s="14" t="s">
        <v>35</v>
      </c>
      <c r="D668" s="14" t="s">
        <v>24</v>
      </c>
      <c r="E668" s="14" t="s">
        <v>25</v>
      </c>
      <c r="F668" s="14" t="s">
        <v>20</v>
      </c>
      <c r="G668" s="7">
        <v>1</v>
      </c>
      <c r="H668" s="7">
        <v>500</v>
      </c>
      <c r="I668" s="9">
        <v>0</v>
      </c>
      <c r="J668" s="10">
        <f>SALCE[[#This Row],[After_Discount]]*SALCE[[#This Row],[Tax_%]]/100</f>
        <v>0.7</v>
      </c>
      <c r="K668" s="11">
        <v>0.14000000000000001</v>
      </c>
      <c r="L668" s="10">
        <f>SALCE[[#This Row],[Quantity]]*SALCE[[#This Row],[Unit_Price]]</f>
        <v>500</v>
      </c>
      <c r="M668" s="10">
        <f>SALCE[[#This Row],[Gross_Sales]]*SALCE[[#This Row],[Discount_%]]/100</f>
        <v>0</v>
      </c>
      <c r="N668" s="10">
        <f>SALCE[[#This Row],[After_Discount]]+SALCE[[#This Row],[Tax_Value]]</f>
        <v>500.7</v>
      </c>
      <c r="O668" s="10">
        <f>SALCE[[#This Row],[Gross_Sales]]*70%</f>
        <v>350</v>
      </c>
      <c r="P668" s="10">
        <f>SALCE[[#This Row],[Net_Sales]]-SALCE[[#This Row],[Cost_Price]]</f>
        <v>150.69999999999999</v>
      </c>
      <c r="Q668" s="10">
        <f>SALCE[[#This Row],[Gross_Sales]]-SALCE[[#This Row],[Discount_Value]]</f>
        <v>500</v>
      </c>
      <c r="R668" s="15" t="s">
        <v>59</v>
      </c>
      <c r="S668" s="15" t="s">
        <v>37</v>
      </c>
      <c r="T668" s="15" t="s">
        <v>22</v>
      </c>
    </row>
    <row r="669" spans="1:20" s="12" customFormat="1" ht="30" customHeight="1" thickTop="1" thickBot="1" x14ac:dyDescent="0.4">
      <c r="A669" s="7">
        <v>1668</v>
      </c>
      <c r="B669" s="8">
        <v>45960</v>
      </c>
      <c r="C669" s="14" t="s">
        <v>39</v>
      </c>
      <c r="D669" s="14" t="s">
        <v>36</v>
      </c>
      <c r="E669" s="14" t="s">
        <v>25</v>
      </c>
      <c r="F669" s="14" t="s">
        <v>20</v>
      </c>
      <c r="G669" s="7">
        <v>5</v>
      </c>
      <c r="H669" s="7">
        <v>500</v>
      </c>
      <c r="I669" s="9">
        <v>15</v>
      </c>
      <c r="J669" s="10">
        <f>SALCE[[#This Row],[After_Discount]]*SALCE[[#This Row],[Tax_%]]/100</f>
        <v>2.9750000000000001</v>
      </c>
      <c r="K669" s="11">
        <v>0.14000000000000001</v>
      </c>
      <c r="L669" s="10">
        <f>SALCE[[#This Row],[Quantity]]*SALCE[[#This Row],[Unit_Price]]</f>
        <v>2500</v>
      </c>
      <c r="M669" s="10">
        <f>SALCE[[#This Row],[Gross_Sales]]*SALCE[[#This Row],[Discount_%]]/100</f>
        <v>375</v>
      </c>
      <c r="N669" s="10">
        <f>SALCE[[#This Row],[After_Discount]]+SALCE[[#This Row],[Tax_Value]]</f>
        <v>2127.9749999999999</v>
      </c>
      <c r="O669" s="10">
        <f>SALCE[[#This Row],[Gross_Sales]]*70%</f>
        <v>1750</v>
      </c>
      <c r="P669" s="10">
        <f>SALCE[[#This Row],[Net_Sales]]-SALCE[[#This Row],[Cost_Price]]</f>
        <v>377.97499999999991</v>
      </c>
      <c r="Q669" s="10">
        <f>SALCE[[#This Row],[Gross_Sales]]-SALCE[[#This Row],[Discount_Value]]</f>
        <v>2125</v>
      </c>
      <c r="R669" s="15" t="s">
        <v>56</v>
      </c>
      <c r="S669" s="15" t="s">
        <v>21</v>
      </c>
      <c r="T669" s="15" t="s">
        <v>22</v>
      </c>
    </row>
    <row r="670" spans="1:20" s="12" customFormat="1" ht="30" customHeight="1" thickTop="1" thickBot="1" x14ac:dyDescent="0.4">
      <c r="A670" s="7">
        <v>1669</v>
      </c>
      <c r="B670" s="8">
        <v>45961</v>
      </c>
      <c r="C670" s="14" t="s">
        <v>39</v>
      </c>
      <c r="D670" s="14" t="s">
        <v>29</v>
      </c>
      <c r="E670" s="14" t="s">
        <v>34</v>
      </c>
      <c r="F670" s="14" t="s">
        <v>32</v>
      </c>
      <c r="G670" s="7">
        <v>4</v>
      </c>
      <c r="H670" s="7">
        <v>4000</v>
      </c>
      <c r="I670" s="9">
        <v>10</v>
      </c>
      <c r="J670" s="10">
        <f>SALCE[[#This Row],[After_Discount]]*SALCE[[#This Row],[Tax_%]]/100</f>
        <v>20.160000000000004</v>
      </c>
      <c r="K670" s="11">
        <v>0.14000000000000001</v>
      </c>
      <c r="L670" s="10">
        <f>SALCE[[#This Row],[Quantity]]*SALCE[[#This Row],[Unit_Price]]</f>
        <v>16000</v>
      </c>
      <c r="M670" s="10">
        <f>SALCE[[#This Row],[Gross_Sales]]*SALCE[[#This Row],[Discount_%]]/100</f>
        <v>1600</v>
      </c>
      <c r="N670" s="10">
        <f>SALCE[[#This Row],[After_Discount]]+SALCE[[#This Row],[Tax_Value]]</f>
        <v>14420.16</v>
      </c>
      <c r="O670" s="10">
        <f>SALCE[[#This Row],[Gross_Sales]]*70%</f>
        <v>11200</v>
      </c>
      <c r="P670" s="10">
        <f>SALCE[[#This Row],[Net_Sales]]-SALCE[[#This Row],[Cost_Price]]</f>
        <v>3220.16</v>
      </c>
      <c r="Q670" s="10">
        <f>SALCE[[#This Row],[Gross_Sales]]-SALCE[[#This Row],[Discount_Value]]</f>
        <v>14400</v>
      </c>
      <c r="R670" s="15" t="s">
        <v>52</v>
      </c>
      <c r="S670" s="15" t="s">
        <v>21</v>
      </c>
      <c r="T670" s="15" t="s">
        <v>22</v>
      </c>
    </row>
    <row r="671" spans="1:20" s="12" customFormat="1" ht="30" customHeight="1" thickTop="1" thickBot="1" x14ac:dyDescent="0.4">
      <c r="A671" s="7">
        <v>1670</v>
      </c>
      <c r="B671" s="8">
        <v>45962</v>
      </c>
      <c r="C671" s="14" t="s">
        <v>28</v>
      </c>
      <c r="D671" s="14" t="s">
        <v>36</v>
      </c>
      <c r="E671" s="14" t="s">
        <v>33</v>
      </c>
      <c r="F671" s="14" t="s">
        <v>32</v>
      </c>
      <c r="G671" s="7">
        <v>4</v>
      </c>
      <c r="H671" s="7">
        <v>6000</v>
      </c>
      <c r="I671" s="9">
        <v>5</v>
      </c>
      <c r="J671" s="10">
        <f>SALCE[[#This Row],[After_Discount]]*SALCE[[#This Row],[Tax_%]]/100</f>
        <v>31.920000000000005</v>
      </c>
      <c r="K671" s="11">
        <v>0.14000000000000001</v>
      </c>
      <c r="L671" s="10">
        <f>SALCE[[#This Row],[Quantity]]*SALCE[[#This Row],[Unit_Price]]</f>
        <v>24000</v>
      </c>
      <c r="M671" s="10">
        <f>SALCE[[#This Row],[Gross_Sales]]*SALCE[[#This Row],[Discount_%]]/100</f>
        <v>1200</v>
      </c>
      <c r="N671" s="10">
        <f>SALCE[[#This Row],[After_Discount]]+SALCE[[#This Row],[Tax_Value]]</f>
        <v>22831.919999999998</v>
      </c>
      <c r="O671" s="10">
        <f>SALCE[[#This Row],[Gross_Sales]]*70%</f>
        <v>16800</v>
      </c>
      <c r="P671" s="10">
        <f>SALCE[[#This Row],[Net_Sales]]-SALCE[[#This Row],[Cost_Price]]</f>
        <v>6031.9199999999983</v>
      </c>
      <c r="Q671" s="10">
        <f>SALCE[[#This Row],[Gross_Sales]]-SALCE[[#This Row],[Discount_Value]]</f>
        <v>22800</v>
      </c>
      <c r="R671" s="15" t="s">
        <v>59</v>
      </c>
      <c r="S671" s="15" t="s">
        <v>26</v>
      </c>
      <c r="T671" s="15" t="s">
        <v>27</v>
      </c>
    </row>
    <row r="672" spans="1:20" s="12" customFormat="1" ht="30" customHeight="1" thickTop="1" thickBot="1" x14ac:dyDescent="0.4">
      <c r="A672" s="7">
        <v>1671</v>
      </c>
      <c r="B672" s="8">
        <v>45963</v>
      </c>
      <c r="C672" s="14" t="s">
        <v>17</v>
      </c>
      <c r="D672" s="14" t="s">
        <v>29</v>
      </c>
      <c r="E672" s="14" t="s">
        <v>40</v>
      </c>
      <c r="F672" s="14" t="s">
        <v>20</v>
      </c>
      <c r="G672" s="7">
        <v>3</v>
      </c>
      <c r="H672" s="7">
        <v>800</v>
      </c>
      <c r="I672" s="9">
        <v>15</v>
      </c>
      <c r="J672" s="10">
        <f>SALCE[[#This Row],[After_Discount]]*SALCE[[#This Row],[Tax_%]]/100</f>
        <v>2.8560000000000003</v>
      </c>
      <c r="K672" s="11">
        <v>0.14000000000000001</v>
      </c>
      <c r="L672" s="10">
        <f>SALCE[[#This Row],[Quantity]]*SALCE[[#This Row],[Unit_Price]]</f>
        <v>2400</v>
      </c>
      <c r="M672" s="10">
        <f>SALCE[[#This Row],[Gross_Sales]]*SALCE[[#This Row],[Discount_%]]/100</f>
        <v>360</v>
      </c>
      <c r="N672" s="10">
        <f>SALCE[[#This Row],[After_Discount]]+SALCE[[#This Row],[Tax_Value]]</f>
        <v>2042.856</v>
      </c>
      <c r="O672" s="10">
        <f>SALCE[[#This Row],[Gross_Sales]]*70%</f>
        <v>1680</v>
      </c>
      <c r="P672" s="10">
        <f>SALCE[[#This Row],[Net_Sales]]-SALCE[[#This Row],[Cost_Price]]</f>
        <v>362.85599999999999</v>
      </c>
      <c r="Q672" s="10">
        <f>SALCE[[#This Row],[Gross_Sales]]-SALCE[[#This Row],[Discount_Value]]</f>
        <v>2040</v>
      </c>
      <c r="R672" s="15" t="s">
        <v>47</v>
      </c>
      <c r="S672" s="15" t="s">
        <v>26</v>
      </c>
      <c r="T672" s="15" t="s">
        <v>22</v>
      </c>
    </row>
    <row r="673" spans="1:20" s="12" customFormat="1" ht="30" customHeight="1" thickTop="1" thickBot="1" x14ac:dyDescent="0.4">
      <c r="A673" s="7">
        <v>1672</v>
      </c>
      <c r="B673" s="8">
        <v>45964</v>
      </c>
      <c r="C673" s="14" t="s">
        <v>28</v>
      </c>
      <c r="D673" s="14" t="s">
        <v>18</v>
      </c>
      <c r="E673" s="14" t="s">
        <v>33</v>
      </c>
      <c r="F673" s="14" t="s">
        <v>32</v>
      </c>
      <c r="G673" s="7">
        <v>9</v>
      </c>
      <c r="H673" s="7">
        <v>6000</v>
      </c>
      <c r="I673" s="9">
        <v>0</v>
      </c>
      <c r="J673" s="10">
        <f>SALCE[[#This Row],[After_Discount]]*SALCE[[#This Row],[Tax_%]]/100</f>
        <v>75.600000000000009</v>
      </c>
      <c r="K673" s="11">
        <v>0.14000000000000001</v>
      </c>
      <c r="L673" s="10">
        <f>SALCE[[#This Row],[Quantity]]*SALCE[[#This Row],[Unit_Price]]</f>
        <v>54000</v>
      </c>
      <c r="M673" s="10">
        <f>SALCE[[#This Row],[Gross_Sales]]*SALCE[[#This Row],[Discount_%]]/100</f>
        <v>0</v>
      </c>
      <c r="N673" s="10">
        <f>SALCE[[#This Row],[After_Discount]]+SALCE[[#This Row],[Tax_Value]]</f>
        <v>54075.6</v>
      </c>
      <c r="O673" s="10">
        <f>SALCE[[#This Row],[Gross_Sales]]*70%</f>
        <v>37800</v>
      </c>
      <c r="P673" s="10">
        <f>SALCE[[#This Row],[Net_Sales]]-SALCE[[#This Row],[Cost_Price]]</f>
        <v>16275.599999999999</v>
      </c>
      <c r="Q673" s="10">
        <f>SALCE[[#This Row],[Gross_Sales]]-SALCE[[#This Row],[Discount_Value]]</f>
        <v>54000</v>
      </c>
      <c r="R673" s="15" t="s">
        <v>53</v>
      </c>
      <c r="S673" s="15" t="s">
        <v>26</v>
      </c>
      <c r="T673" s="15" t="s">
        <v>27</v>
      </c>
    </row>
    <row r="674" spans="1:20" s="12" customFormat="1" ht="30" customHeight="1" thickTop="1" thickBot="1" x14ac:dyDescent="0.4">
      <c r="A674" s="7">
        <v>1673</v>
      </c>
      <c r="B674" s="8">
        <v>45965</v>
      </c>
      <c r="C674" s="14" t="s">
        <v>39</v>
      </c>
      <c r="D674" s="14" t="s">
        <v>41</v>
      </c>
      <c r="E674" s="14" t="s">
        <v>33</v>
      </c>
      <c r="F674" s="14" t="s">
        <v>32</v>
      </c>
      <c r="G674" s="7">
        <v>4</v>
      </c>
      <c r="H674" s="7">
        <v>6000</v>
      </c>
      <c r="I674" s="9">
        <v>0</v>
      </c>
      <c r="J674" s="10">
        <f>SALCE[[#This Row],[After_Discount]]*SALCE[[#This Row],[Tax_%]]/100</f>
        <v>33.6</v>
      </c>
      <c r="K674" s="11">
        <v>0.14000000000000001</v>
      </c>
      <c r="L674" s="10">
        <f>SALCE[[#This Row],[Quantity]]*SALCE[[#This Row],[Unit_Price]]</f>
        <v>24000</v>
      </c>
      <c r="M674" s="10">
        <f>SALCE[[#This Row],[Gross_Sales]]*SALCE[[#This Row],[Discount_%]]/100</f>
        <v>0</v>
      </c>
      <c r="N674" s="10">
        <f>SALCE[[#This Row],[After_Discount]]+SALCE[[#This Row],[Tax_Value]]</f>
        <v>24033.599999999999</v>
      </c>
      <c r="O674" s="10">
        <f>SALCE[[#This Row],[Gross_Sales]]*70%</f>
        <v>16800</v>
      </c>
      <c r="P674" s="10">
        <f>SALCE[[#This Row],[Net_Sales]]-SALCE[[#This Row],[Cost_Price]]</f>
        <v>7233.5999999999985</v>
      </c>
      <c r="Q674" s="10">
        <f>SALCE[[#This Row],[Gross_Sales]]-SALCE[[#This Row],[Discount_Value]]</f>
        <v>24000</v>
      </c>
      <c r="R674" s="15" t="s">
        <v>51</v>
      </c>
      <c r="S674" s="15" t="s">
        <v>37</v>
      </c>
      <c r="T674" s="15" t="s">
        <v>27</v>
      </c>
    </row>
    <row r="675" spans="1:20" s="12" customFormat="1" ht="30" customHeight="1" thickTop="1" thickBot="1" x14ac:dyDescent="0.4">
      <c r="A675" s="7">
        <v>1674</v>
      </c>
      <c r="B675" s="8">
        <v>45966</v>
      </c>
      <c r="C675" s="14" t="s">
        <v>17</v>
      </c>
      <c r="D675" s="14" t="s">
        <v>36</v>
      </c>
      <c r="E675" s="14" t="s">
        <v>19</v>
      </c>
      <c r="F675" s="14" t="s">
        <v>20</v>
      </c>
      <c r="G675" s="7">
        <v>5</v>
      </c>
      <c r="H675" s="7">
        <v>300</v>
      </c>
      <c r="I675" s="9">
        <v>0</v>
      </c>
      <c r="J675" s="10">
        <f>SALCE[[#This Row],[After_Discount]]*SALCE[[#This Row],[Tax_%]]/100</f>
        <v>2.1</v>
      </c>
      <c r="K675" s="11">
        <v>0.14000000000000001</v>
      </c>
      <c r="L675" s="10">
        <f>SALCE[[#This Row],[Quantity]]*SALCE[[#This Row],[Unit_Price]]</f>
        <v>1500</v>
      </c>
      <c r="M675" s="10">
        <f>SALCE[[#This Row],[Gross_Sales]]*SALCE[[#This Row],[Discount_%]]/100</f>
        <v>0</v>
      </c>
      <c r="N675" s="10">
        <f>SALCE[[#This Row],[After_Discount]]+SALCE[[#This Row],[Tax_Value]]</f>
        <v>1502.1</v>
      </c>
      <c r="O675" s="10">
        <f>SALCE[[#This Row],[Gross_Sales]]*70%</f>
        <v>1050</v>
      </c>
      <c r="P675" s="10">
        <f>SALCE[[#This Row],[Net_Sales]]-SALCE[[#This Row],[Cost_Price]]</f>
        <v>452.09999999999991</v>
      </c>
      <c r="Q675" s="10">
        <f>SALCE[[#This Row],[Gross_Sales]]-SALCE[[#This Row],[Discount_Value]]</f>
        <v>1500</v>
      </c>
      <c r="R675" s="15" t="s">
        <v>58</v>
      </c>
      <c r="S675" s="15" t="s">
        <v>21</v>
      </c>
      <c r="T675" s="15" t="s">
        <v>27</v>
      </c>
    </row>
    <row r="676" spans="1:20" s="12" customFormat="1" ht="30" customHeight="1" thickTop="1" thickBot="1" x14ac:dyDescent="0.4">
      <c r="A676" s="7">
        <v>1675</v>
      </c>
      <c r="B676" s="8">
        <v>45967</v>
      </c>
      <c r="C676" s="14" t="s">
        <v>28</v>
      </c>
      <c r="D676" s="14" t="s">
        <v>38</v>
      </c>
      <c r="E676" s="14" t="s">
        <v>19</v>
      </c>
      <c r="F676" s="14" t="s">
        <v>20</v>
      </c>
      <c r="G676" s="7">
        <v>7</v>
      </c>
      <c r="H676" s="7">
        <v>300</v>
      </c>
      <c r="I676" s="9">
        <v>15</v>
      </c>
      <c r="J676" s="10">
        <f>SALCE[[#This Row],[After_Discount]]*SALCE[[#This Row],[Tax_%]]/100</f>
        <v>2.4990000000000006</v>
      </c>
      <c r="K676" s="11">
        <v>0.14000000000000001</v>
      </c>
      <c r="L676" s="10">
        <f>SALCE[[#This Row],[Quantity]]*SALCE[[#This Row],[Unit_Price]]</f>
        <v>2100</v>
      </c>
      <c r="M676" s="10">
        <f>SALCE[[#This Row],[Gross_Sales]]*SALCE[[#This Row],[Discount_%]]/100</f>
        <v>315</v>
      </c>
      <c r="N676" s="10">
        <f>SALCE[[#This Row],[After_Discount]]+SALCE[[#This Row],[Tax_Value]]</f>
        <v>1787.499</v>
      </c>
      <c r="O676" s="10">
        <f>SALCE[[#This Row],[Gross_Sales]]*70%</f>
        <v>1470</v>
      </c>
      <c r="P676" s="10">
        <f>SALCE[[#This Row],[Net_Sales]]-SALCE[[#This Row],[Cost_Price]]</f>
        <v>317.49900000000002</v>
      </c>
      <c r="Q676" s="10">
        <f>SALCE[[#This Row],[Gross_Sales]]-SALCE[[#This Row],[Discount_Value]]</f>
        <v>1785</v>
      </c>
      <c r="R676" s="15" t="s">
        <v>52</v>
      </c>
      <c r="S676" s="15" t="s">
        <v>21</v>
      </c>
      <c r="T676" s="15" t="s">
        <v>27</v>
      </c>
    </row>
    <row r="677" spans="1:20" s="12" customFormat="1" ht="30" customHeight="1" thickTop="1" thickBot="1" x14ac:dyDescent="0.4">
      <c r="A677" s="7">
        <v>1676</v>
      </c>
      <c r="B677" s="8">
        <v>45968</v>
      </c>
      <c r="C677" s="14" t="s">
        <v>28</v>
      </c>
      <c r="D677" s="14" t="s">
        <v>24</v>
      </c>
      <c r="E677" s="14" t="s">
        <v>25</v>
      </c>
      <c r="F677" s="14" t="s">
        <v>20</v>
      </c>
      <c r="G677" s="7">
        <v>8</v>
      </c>
      <c r="H677" s="7">
        <v>500</v>
      </c>
      <c r="I677" s="9">
        <v>15</v>
      </c>
      <c r="J677" s="10">
        <f>SALCE[[#This Row],[After_Discount]]*SALCE[[#This Row],[Tax_%]]/100</f>
        <v>4.7600000000000007</v>
      </c>
      <c r="K677" s="11">
        <v>0.14000000000000001</v>
      </c>
      <c r="L677" s="10">
        <f>SALCE[[#This Row],[Quantity]]*SALCE[[#This Row],[Unit_Price]]</f>
        <v>4000</v>
      </c>
      <c r="M677" s="10">
        <f>SALCE[[#This Row],[Gross_Sales]]*SALCE[[#This Row],[Discount_%]]/100</f>
        <v>600</v>
      </c>
      <c r="N677" s="10">
        <f>SALCE[[#This Row],[After_Discount]]+SALCE[[#This Row],[Tax_Value]]</f>
        <v>3404.76</v>
      </c>
      <c r="O677" s="10">
        <f>SALCE[[#This Row],[Gross_Sales]]*70%</f>
        <v>2800</v>
      </c>
      <c r="P677" s="10">
        <f>SALCE[[#This Row],[Net_Sales]]-SALCE[[#This Row],[Cost_Price]]</f>
        <v>604.76000000000022</v>
      </c>
      <c r="Q677" s="10">
        <f>SALCE[[#This Row],[Gross_Sales]]-SALCE[[#This Row],[Discount_Value]]</f>
        <v>3400</v>
      </c>
      <c r="R677" s="15" t="s">
        <v>58</v>
      </c>
      <c r="S677" s="15" t="s">
        <v>37</v>
      </c>
      <c r="T677" s="15" t="s">
        <v>27</v>
      </c>
    </row>
    <row r="678" spans="1:20" s="12" customFormat="1" ht="30" customHeight="1" thickTop="1" thickBot="1" x14ac:dyDescent="0.4">
      <c r="A678" s="7">
        <v>1677</v>
      </c>
      <c r="B678" s="8">
        <v>45969</v>
      </c>
      <c r="C678" s="14" t="s">
        <v>28</v>
      </c>
      <c r="D678" s="14" t="s">
        <v>36</v>
      </c>
      <c r="E678" s="14" t="s">
        <v>19</v>
      </c>
      <c r="F678" s="14" t="s">
        <v>20</v>
      </c>
      <c r="G678" s="7">
        <v>3</v>
      </c>
      <c r="H678" s="7">
        <v>300</v>
      </c>
      <c r="I678" s="9">
        <v>5</v>
      </c>
      <c r="J678" s="10">
        <f>SALCE[[#This Row],[After_Discount]]*SALCE[[#This Row],[Tax_%]]/100</f>
        <v>1.1970000000000001</v>
      </c>
      <c r="K678" s="11">
        <v>0.14000000000000001</v>
      </c>
      <c r="L678" s="10">
        <f>SALCE[[#This Row],[Quantity]]*SALCE[[#This Row],[Unit_Price]]</f>
        <v>900</v>
      </c>
      <c r="M678" s="10">
        <f>SALCE[[#This Row],[Gross_Sales]]*SALCE[[#This Row],[Discount_%]]/100</f>
        <v>45</v>
      </c>
      <c r="N678" s="10">
        <f>SALCE[[#This Row],[After_Discount]]+SALCE[[#This Row],[Tax_Value]]</f>
        <v>856.197</v>
      </c>
      <c r="O678" s="10">
        <f>SALCE[[#This Row],[Gross_Sales]]*70%</f>
        <v>630</v>
      </c>
      <c r="P678" s="10">
        <f>SALCE[[#This Row],[Net_Sales]]-SALCE[[#This Row],[Cost_Price]]</f>
        <v>226.197</v>
      </c>
      <c r="Q678" s="10">
        <f>SALCE[[#This Row],[Gross_Sales]]-SALCE[[#This Row],[Discount_Value]]</f>
        <v>855</v>
      </c>
      <c r="R678" s="15" t="s">
        <v>58</v>
      </c>
      <c r="S678" s="15" t="s">
        <v>21</v>
      </c>
      <c r="T678" s="15" t="s">
        <v>22</v>
      </c>
    </row>
    <row r="679" spans="1:20" s="12" customFormat="1" ht="30" customHeight="1" thickTop="1" thickBot="1" x14ac:dyDescent="0.4">
      <c r="A679" s="7">
        <v>1678</v>
      </c>
      <c r="B679" s="8">
        <v>45970</v>
      </c>
      <c r="C679" s="14" t="s">
        <v>23</v>
      </c>
      <c r="D679" s="14" t="s">
        <v>36</v>
      </c>
      <c r="E679" s="14" t="s">
        <v>31</v>
      </c>
      <c r="F679" s="14" t="s">
        <v>32</v>
      </c>
      <c r="G679" s="7">
        <v>8</v>
      </c>
      <c r="H679" s="7">
        <v>15000</v>
      </c>
      <c r="I679" s="9">
        <v>5</v>
      </c>
      <c r="J679" s="10">
        <f>SALCE[[#This Row],[After_Discount]]*SALCE[[#This Row],[Tax_%]]/100</f>
        <v>159.60000000000002</v>
      </c>
      <c r="K679" s="11">
        <v>0.14000000000000001</v>
      </c>
      <c r="L679" s="10">
        <f>SALCE[[#This Row],[Quantity]]*SALCE[[#This Row],[Unit_Price]]</f>
        <v>120000</v>
      </c>
      <c r="M679" s="10">
        <f>SALCE[[#This Row],[Gross_Sales]]*SALCE[[#This Row],[Discount_%]]/100</f>
        <v>6000</v>
      </c>
      <c r="N679" s="10">
        <f>SALCE[[#This Row],[After_Discount]]+SALCE[[#This Row],[Tax_Value]]</f>
        <v>114159.6</v>
      </c>
      <c r="O679" s="10">
        <f>SALCE[[#This Row],[Gross_Sales]]*70%</f>
        <v>84000</v>
      </c>
      <c r="P679" s="10">
        <f>SALCE[[#This Row],[Net_Sales]]-SALCE[[#This Row],[Cost_Price]]</f>
        <v>30159.600000000006</v>
      </c>
      <c r="Q679" s="10">
        <f>SALCE[[#This Row],[Gross_Sales]]-SALCE[[#This Row],[Discount_Value]]</f>
        <v>114000</v>
      </c>
      <c r="R679" s="15" t="s">
        <v>61</v>
      </c>
      <c r="S679" s="15" t="s">
        <v>37</v>
      </c>
      <c r="T679" s="15" t="s">
        <v>27</v>
      </c>
    </row>
    <row r="680" spans="1:20" s="12" customFormat="1" ht="30" customHeight="1" thickTop="1" thickBot="1" x14ac:dyDescent="0.4">
      <c r="A680" s="7">
        <v>1679</v>
      </c>
      <c r="B680" s="8">
        <v>45971</v>
      </c>
      <c r="C680" s="14" t="s">
        <v>17</v>
      </c>
      <c r="D680" s="14" t="s">
        <v>18</v>
      </c>
      <c r="E680" s="14" t="s">
        <v>25</v>
      </c>
      <c r="F680" s="14" t="s">
        <v>20</v>
      </c>
      <c r="G680" s="7">
        <v>8</v>
      </c>
      <c r="H680" s="7">
        <v>500</v>
      </c>
      <c r="I680" s="9">
        <v>10</v>
      </c>
      <c r="J680" s="10">
        <f>SALCE[[#This Row],[After_Discount]]*SALCE[[#This Row],[Tax_%]]/100</f>
        <v>5.0400000000000009</v>
      </c>
      <c r="K680" s="11">
        <v>0.14000000000000001</v>
      </c>
      <c r="L680" s="10">
        <f>SALCE[[#This Row],[Quantity]]*SALCE[[#This Row],[Unit_Price]]</f>
        <v>4000</v>
      </c>
      <c r="M680" s="10">
        <f>SALCE[[#This Row],[Gross_Sales]]*SALCE[[#This Row],[Discount_%]]/100</f>
        <v>400</v>
      </c>
      <c r="N680" s="10">
        <f>SALCE[[#This Row],[After_Discount]]+SALCE[[#This Row],[Tax_Value]]</f>
        <v>3605.04</v>
      </c>
      <c r="O680" s="10">
        <f>SALCE[[#This Row],[Gross_Sales]]*70%</f>
        <v>2800</v>
      </c>
      <c r="P680" s="10">
        <f>SALCE[[#This Row],[Net_Sales]]-SALCE[[#This Row],[Cost_Price]]</f>
        <v>805.04</v>
      </c>
      <c r="Q680" s="10">
        <f>SALCE[[#This Row],[Gross_Sales]]-SALCE[[#This Row],[Discount_Value]]</f>
        <v>3600</v>
      </c>
      <c r="R680" s="15" t="s">
        <v>51</v>
      </c>
      <c r="S680" s="15" t="s">
        <v>26</v>
      </c>
      <c r="T680" s="15" t="s">
        <v>27</v>
      </c>
    </row>
    <row r="681" spans="1:20" s="12" customFormat="1" ht="30" customHeight="1" thickTop="1" thickBot="1" x14ac:dyDescent="0.4">
      <c r="A681" s="7">
        <v>1680</v>
      </c>
      <c r="B681" s="8">
        <v>45972</v>
      </c>
      <c r="C681" s="14" t="s">
        <v>23</v>
      </c>
      <c r="D681" s="14" t="s">
        <v>36</v>
      </c>
      <c r="E681" s="14" t="s">
        <v>40</v>
      </c>
      <c r="F681" s="14" t="s">
        <v>20</v>
      </c>
      <c r="G681" s="7">
        <v>4</v>
      </c>
      <c r="H681" s="7">
        <v>800</v>
      </c>
      <c r="I681" s="9">
        <v>0</v>
      </c>
      <c r="J681" s="10">
        <f>SALCE[[#This Row],[After_Discount]]*SALCE[[#This Row],[Tax_%]]/100</f>
        <v>4.4800000000000004</v>
      </c>
      <c r="K681" s="11">
        <v>0.14000000000000001</v>
      </c>
      <c r="L681" s="10">
        <f>SALCE[[#This Row],[Quantity]]*SALCE[[#This Row],[Unit_Price]]</f>
        <v>3200</v>
      </c>
      <c r="M681" s="10">
        <f>SALCE[[#This Row],[Gross_Sales]]*SALCE[[#This Row],[Discount_%]]/100</f>
        <v>0</v>
      </c>
      <c r="N681" s="10">
        <f>SALCE[[#This Row],[After_Discount]]+SALCE[[#This Row],[Tax_Value]]</f>
        <v>3204.48</v>
      </c>
      <c r="O681" s="10">
        <f>SALCE[[#This Row],[Gross_Sales]]*70%</f>
        <v>2240</v>
      </c>
      <c r="P681" s="10">
        <f>SALCE[[#This Row],[Net_Sales]]-SALCE[[#This Row],[Cost_Price]]</f>
        <v>964.48</v>
      </c>
      <c r="Q681" s="10">
        <f>SALCE[[#This Row],[Gross_Sales]]-SALCE[[#This Row],[Discount_Value]]</f>
        <v>3200</v>
      </c>
      <c r="R681" s="15" t="s">
        <v>49</v>
      </c>
      <c r="S681" s="15" t="s">
        <v>21</v>
      </c>
      <c r="T681" s="15" t="s">
        <v>27</v>
      </c>
    </row>
    <row r="682" spans="1:20" s="12" customFormat="1" ht="30" customHeight="1" thickTop="1" thickBot="1" x14ac:dyDescent="0.4">
      <c r="A682" s="7">
        <v>1681</v>
      </c>
      <c r="B682" s="8">
        <v>45973</v>
      </c>
      <c r="C682" s="14" t="s">
        <v>35</v>
      </c>
      <c r="D682" s="14" t="s">
        <v>24</v>
      </c>
      <c r="E682" s="14" t="s">
        <v>25</v>
      </c>
      <c r="F682" s="14" t="s">
        <v>20</v>
      </c>
      <c r="G682" s="7">
        <v>2</v>
      </c>
      <c r="H682" s="7">
        <v>500</v>
      </c>
      <c r="I682" s="9">
        <v>15</v>
      </c>
      <c r="J682" s="10">
        <f>SALCE[[#This Row],[After_Discount]]*SALCE[[#This Row],[Tax_%]]/100</f>
        <v>1.1900000000000002</v>
      </c>
      <c r="K682" s="11">
        <v>0.14000000000000001</v>
      </c>
      <c r="L682" s="10">
        <f>SALCE[[#This Row],[Quantity]]*SALCE[[#This Row],[Unit_Price]]</f>
        <v>1000</v>
      </c>
      <c r="M682" s="10">
        <f>SALCE[[#This Row],[Gross_Sales]]*SALCE[[#This Row],[Discount_%]]/100</f>
        <v>150</v>
      </c>
      <c r="N682" s="10">
        <f>SALCE[[#This Row],[After_Discount]]+SALCE[[#This Row],[Tax_Value]]</f>
        <v>851.19</v>
      </c>
      <c r="O682" s="10">
        <f>SALCE[[#This Row],[Gross_Sales]]*70%</f>
        <v>700</v>
      </c>
      <c r="P682" s="10">
        <f>SALCE[[#This Row],[Net_Sales]]-SALCE[[#This Row],[Cost_Price]]</f>
        <v>151.19000000000005</v>
      </c>
      <c r="Q682" s="10">
        <f>SALCE[[#This Row],[Gross_Sales]]-SALCE[[#This Row],[Discount_Value]]</f>
        <v>850</v>
      </c>
      <c r="R682" s="15" t="s">
        <v>47</v>
      </c>
      <c r="S682" s="15" t="s">
        <v>26</v>
      </c>
      <c r="T682" s="15" t="s">
        <v>27</v>
      </c>
    </row>
    <row r="683" spans="1:20" s="12" customFormat="1" ht="30" customHeight="1" thickTop="1" thickBot="1" x14ac:dyDescent="0.4">
      <c r="A683" s="7">
        <v>1682</v>
      </c>
      <c r="B683" s="8">
        <v>45974</v>
      </c>
      <c r="C683" s="14" t="s">
        <v>30</v>
      </c>
      <c r="D683" s="14" t="s">
        <v>29</v>
      </c>
      <c r="E683" s="14" t="s">
        <v>25</v>
      </c>
      <c r="F683" s="14" t="s">
        <v>20</v>
      </c>
      <c r="G683" s="7">
        <v>9</v>
      </c>
      <c r="H683" s="7">
        <v>500</v>
      </c>
      <c r="I683" s="9">
        <v>0</v>
      </c>
      <c r="J683" s="10">
        <f>SALCE[[#This Row],[After_Discount]]*SALCE[[#This Row],[Tax_%]]/100</f>
        <v>6.3000000000000007</v>
      </c>
      <c r="K683" s="11">
        <v>0.14000000000000001</v>
      </c>
      <c r="L683" s="10">
        <f>SALCE[[#This Row],[Quantity]]*SALCE[[#This Row],[Unit_Price]]</f>
        <v>4500</v>
      </c>
      <c r="M683" s="10">
        <f>SALCE[[#This Row],[Gross_Sales]]*SALCE[[#This Row],[Discount_%]]/100</f>
        <v>0</v>
      </c>
      <c r="N683" s="10">
        <f>SALCE[[#This Row],[After_Discount]]+SALCE[[#This Row],[Tax_Value]]</f>
        <v>4506.3</v>
      </c>
      <c r="O683" s="10">
        <f>SALCE[[#This Row],[Gross_Sales]]*70%</f>
        <v>3150</v>
      </c>
      <c r="P683" s="10">
        <f>SALCE[[#This Row],[Net_Sales]]-SALCE[[#This Row],[Cost_Price]]</f>
        <v>1356.3000000000002</v>
      </c>
      <c r="Q683" s="10">
        <f>SALCE[[#This Row],[Gross_Sales]]-SALCE[[#This Row],[Discount_Value]]</f>
        <v>4500</v>
      </c>
      <c r="R683" s="15" t="s">
        <v>62</v>
      </c>
      <c r="S683" s="15" t="s">
        <v>37</v>
      </c>
      <c r="T683" s="15" t="s">
        <v>22</v>
      </c>
    </row>
    <row r="684" spans="1:20" s="12" customFormat="1" ht="30" customHeight="1" thickTop="1" thickBot="1" x14ac:dyDescent="0.4">
      <c r="A684" s="7">
        <v>1683</v>
      </c>
      <c r="B684" s="8">
        <v>45975</v>
      </c>
      <c r="C684" s="14" t="s">
        <v>17</v>
      </c>
      <c r="D684" s="14" t="s">
        <v>29</v>
      </c>
      <c r="E684" s="14" t="s">
        <v>19</v>
      </c>
      <c r="F684" s="14" t="s">
        <v>20</v>
      </c>
      <c r="G684" s="7">
        <v>6</v>
      </c>
      <c r="H684" s="7">
        <v>300</v>
      </c>
      <c r="I684" s="9">
        <v>0</v>
      </c>
      <c r="J684" s="10">
        <f>SALCE[[#This Row],[After_Discount]]*SALCE[[#This Row],[Tax_%]]/100</f>
        <v>2.5200000000000005</v>
      </c>
      <c r="K684" s="11">
        <v>0.14000000000000001</v>
      </c>
      <c r="L684" s="10">
        <f>SALCE[[#This Row],[Quantity]]*SALCE[[#This Row],[Unit_Price]]</f>
        <v>1800</v>
      </c>
      <c r="M684" s="10">
        <f>SALCE[[#This Row],[Gross_Sales]]*SALCE[[#This Row],[Discount_%]]/100</f>
        <v>0</v>
      </c>
      <c r="N684" s="10">
        <f>SALCE[[#This Row],[After_Discount]]+SALCE[[#This Row],[Tax_Value]]</f>
        <v>1802.52</v>
      </c>
      <c r="O684" s="10">
        <f>SALCE[[#This Row],[Gross_Sales]]*70%</f>
        <v>1260</v>
      </c>
      <c r="P684" s="10">
        <f>SALCE[[#This Row],[Net_Sales]]-SALCE[[#This Row],[Cost_Price]]</f>
        <v>542.52</v>
      </c>
      <c r="Q684" s="10">
        <f>SALCE[[#This Row],[Gross_Sales]]-SALCE[[#This Row],[Discount_Value]]</f>
        <v>1800</v>
      </c>
      <c r="R684" s="15" t="s">
        <v>52</v>
      </c>
      <c r="S684" s="15" t="s">
        <v>26</v>
      </c>
      <c r="T684" s="15" t="s">
        <v>22</v>
      </c>
    </row>
    <row r="685" spans="1:20" s="12" customFormat="1" ht="30" customHeight="1" thickTop="1" thickBot="1" x14ac:dyDescent="0.4">
      <c r="A685" s="7">
        <v>1684</v>
      </c>
      <c r="B685" s="8">
        <v>45976</v>
      </c>
      <c r="C685" s="14" t="s">
        <v>28</v>
      </c>
      <c r="D685" s="14" t="s">
        <v>41</v>
      </c>
      <c r="E685" s="14" t="s">
        <v>25</v>
      </c>
      <c r="F685" s="14" t="s">
        <v>20</v>
      </c>
      <c r="G685" s="7">
        <v>4</v>
      </c>
      <c r="H685" s="7">
        <v>500</v>
      </c>
      <c r="I685" s="9">
        <v>10</v>
      </c>
      <c r="J685" s="10">
        <f>SALCE[[#This Row],[After_Discount]]*SALCE[[#This Row],[Tax_%]]/100</f>
        <v>2.5200000000000005</v>
      </c>
      <c r="K685" s="11">
        <v>0.14000000000000001</v>
      </c>
      <c r="L685" s="10">
        <f>SALCE[[#This Row],[Quantity]]*SALCE[[#This Row],[Unit_Price]]</f>
        <v>2000</v>
      </c>
      <c r="M685" s="10">
        <f>SALCE[[#This Row],[Gross_Sales]]*SALCE[[#This Row],[Discount_%]]/100</f>
        <v>200</v>
      </c>
      <c r="N685" s="10">
        <f>SALCE[[#This Row],[After_Discount]]+SALCE[[#This Row],[Tax_Value]]</f>
        <v>1802.52</v>
      </c>
      <c r="O685" s="10">
        <f>SALCE[[#This Row],[Gross_Sales]]*70%</f>
        <v>1400</v>
      </c>
      <c r="P685" s="10">
        <f>SALCE[[#This Row],[Net_Sales]]-SALCE[[#This Row],[Cost_Price]]</f>
        <v>402.52</v>
      </c>
      <c r="Q685" s="10">
        <f>SALCE[[#This Row],[Gross_Sales]]-SALCE[[#This Row],[Discount_Value]]</f>
        <v>1800</v>
      </c>
      <c r="R685" s="15" t="s">
        <v>52</v>
      </c>
      <c r="S685" s="15" t="s">
        <v>37</v>
      </c>
      <c r="T685" s="15" t="s">
        <v>22</v>
      </c>
    </row>
    <row r="686" spans="1:20" s="12" customFormat="1" ht="30" customHeight="1" thickTop="1" thickBot="1" x14ac:dyDescent="0.4">
      <c r="A686" s="7">
        <v>1685</v>
      </c>
      <c r="B686" s="8">
        <v>45977</v>
      </c>
      <c r="C686" s="14" t="s">
        <v>23</v>
      </c>
      <c r="D686" s="14" t="s">
        <v>41</v>
      </c>
      <c r="E686" s="14" t="s">
        <v>40</v>
      </c>
      <c r="F686" s="14" t="s">
        <v>20</v>
      </c>
      <c r="G686" s="7">
        <v>5</v>
      </c>
      <c r="H686" s="7">
        <v>800</v>
      </c>
      <c r="I686" s="9">
        <v>0</v>
      </c>
      <c r="J686" s="10">
        <f>SALCE[[#This Row],[After_Discount]]*SALCE[[#This Row],[Tax_%]]/100</f>
        <v>5.6</v>
      </c>
      <c r="K686" s="11">
        <v>0.14000000000000001</v>
      </c>
      <c r="L686" s="10">
        <f>SALCE[[#This Row],[Quantity]]*SALCE[[#This Row],[Unit_Price]]</f>
        <v>4000</v>
      </c>
      <c r="M686" s="10">
        <f>SALCE[[#This Row],[Gross_Sales]]*SALCE[[#This Row],[Discount_%]]/100</f>
        <v>0</v>
      </c>
      <c r="N686" s="10">
        <f>SALCE[[#This Row],[After_Discount]]+SALCE[[#This Row],[Tax_Value]]</f>
        <v>4005.6</v>
      </c>
      <c r="O686" s="10">
        <f>SALCE[[#This Row],[Gross_Sales]]*70%</f>
        <v>2800</v>
      </c>
      <c r="P686" s="10">
        <f>SALCE[[#This Row],[Net_Sales]]-SALCE[[#This Row],[Cost_Price]]</f>
        <v>1205.5999999999999</v>
      </c>
      <c r="Q686" s="10">
        <f>SALCE[[#This Row],[Gross_Sales]]-SALCE[[#This Row],[Discount_Value]]</f>
        <v>4000</v>
      </c>
      <c r="R686" s="15" t="s">
        <v>59</v>
      </c>
      <c r="S686" s="15" t="s">
        <v>21</v>
      </c>
      <c r="T686" s="15" t="s">
        <v>22</v>
      </c>
    </row>
    <row r="687" spans="1:20" s="12" customFormat="1" ht="30" customHeight="1" thickTop="1" thickBot="1" x14ac:dyDescent="0.4">
      <c r="A687" s="7">
        <v>1686</v>
      </c>
      <c r="B687" s="8">
        <v>45978</v>
      </c>
      <c r="C687" s="14" t="s">
        <v>17</v>
      </c>
      <c r="D687" s="14" t="s">
        <v>24</v>
      </c>
      <c r="E687" s="14" t="s">
        <v>40</v>
      </c>
      <c r="F687" s="14" t="s">
        <v>20</v>
      </c>
      <c r="G687" s="7">
        <v>3</v>
      </c>
      <c r="H687" s="7">
        <v>800</v>
      </c>
      <c r="I687" s="9">
        <v>0</v>
      </c>
      <c r="J687" s="10">
        <f>SALCE[[#This Row],[After_Discount]]*SALCE[[#This Row],[Tax_%]]/100</f>
        <v>3.3600000000000008</v>
      </c>
      <c r="K687" s="11">
        <v>0.14000000000000001</v>
      </c>
      <c r="L687" s="10">
        <f>SALCE[[#This Row],[Quantity]]*SALCE[[#This Row],[Unit_Price]]</f>
        <v>2400</v>
      </c>
      <c r="M687" s="10">
        <f>SALCE[[#This Row],[Gross_Sales]]*SALCE[[#This Row],[Discount_%]]/100</f>
        <v>0</v>
      </c>
      <c r="N687" s="10">
        <f>SALCE[[#This Row],[After_Discount]]+SALCE[[#This Row],[Tax_Value]]</f>
        <v>2403.36</v>
      </c>
      <c r="O687" s="10">
        <f>SALCE[[#This Row],[Gross_Sales]]*70%</f>
        <v>1680</v>
      </c>
      <c r="P687" s="10">
        <f>SALCE[[#This Row],[Net_Sales]]-SALCE[[#This Row],[Cost_Price]]</f>
        <v>723.36000000000013</v>
      </c>
      <c r="Q687" s="10">
        <f>SALCE[[#This Row],[Gross_Sales]]-SALCE[[#This Row],[Discount_Value]]</f>
        <v>2400</v>
      </c>
      <c r="R687" s="15" t="s">
        <v>57</v>
      </c>
      <c r="S687" s="15" t="s">
        <v>26</v>
      </c>
      <c r="T687" s="15" t="s">
        <v>22</v>
      </c>
    </row>
    <row r="688" spans="1:20" s="12" customFormat="1" ht="30" customHeight="1" thickTop="1" thickBot="1" x14ac:dyDescent="0.4">
      <c r="A688" s="7">
        <v>1687</v>
      </c>
      <c r="B688" s="8">
        <v>45979</v>
      </c>
      <c r="C688" s="14" t="s">
        <v>17</v>
      </c>
      <c r="D688" s="14" t="s">
        <v>41</v>
      </c>
      <c r="E688" s="14" t="s">
        <v>31</v>
      </c>
      <c r="F688" s="14" t="s">
        <v>32</v>
      </c>
      <c r="G688" s="7">
        <v>1</v>
      </c>
      <c r="H688" s="7">
        <v>15000</v>
      </c>
      <c r="I688" s="9">
        <v>5</v>
      </c>
      <c r="J688" s="10">
        <f>SALCE[[#This Row],[After_Discount]]*SALCE[[#This Row],[Tax_%]]/100</f>
        <v>19.950000000000003</v>
      </c>
      <c r="K688" s="11">
        <v>0.14000000000000001</v>
      </c>
      <c r="L688" s="10">
        <f>SALCE[[#This Row],[Quantity]]*SALCE[[#This Row],[Unit_Price]]</f>
        <v>15000</v>
      </c>
      <c r="M688" s="10">
        <f>SALCE[[#This Row],[Gross_Sales]]*SALCE[[#This Row],[Discount_%]]/100</f>
        <v>750</v>
      </c>
      <c r="N688" s="10">
        <f>SALCE[[#This Row],[After_Discount]]+SALCE[[#This Row],[Tax_Value]]</f>
        <v>14269.95</v>
      </c>
      <c r="O688" s="10">
        <f>SALCE[[#This Row],[Gross_Sales]]*70%</f>
        <v>10500</v>
      </c>
      <c r="P688" s="10">
        <f>SALCE[[#This Row],[Net_Sales]]-SALCE[[#This Row],[Cost_Price]]</f>
        <v>3769.9500000000007</v>
      </c>
      <c r="Q688" s="10">
        <f>SALCE[[#This Row],[Gross_Sales]]-SALCE[[#This Row],[Discount_Value]]</f>
        <v>14250</v>
      </c>
      <c r="R688" s="15" t="s">
        <v>56</v>
      </c>
      <c r="S688" s="15" t="s">
        <v>37</v>
      </c>
      <c r="T688" s="15" t="s">
        <v>22</v>
      </c>
    </row>
    <row r="689" spans="1:20" s="12" customFormat="1" ht="30" customHeight="1" thickTop="1" thickBot="1" x14ac:dyDescent="0.4">
      <c r="A689" s="7">
        <v>1688</v>
      </c>
      <c r="B689" s="8">
        <v>45980</v>
      </c>
      <c r="C689" s="14" t="s">
        <v>30</v>
      </c>
      <c r="D689" s="14" t="s">
        <v>41</v>
      </c>
      <c r="E689" s="14" t="s">
        <v>19</v>
      </c>
      <c r="F689" s="14" t="s">
        <v>20</v>
      </c>
      <c r="G689" s="7">
        <v>3</v>
      </c>
      <c r="H689" s="7">
        <v>300</v>
      </c>
      <c r="I689" s="9">
        <v>0</v>
      </c>
      <c r="J689" s="10">
        <f>SALCE[[#This Row],[After_Discount]]*SALCE[[#This Row],[Tax_%]]/100</f>
        <v>1.2600000000000002</v>
      </c>
      <c r="K689" s="11">
        <v>0.14000000000000001</v>
      </c>
      <c r="L689" s="10">
        <f>SALCE[[#This Row],[Quantity]]*SALCE[[#This Row],[Unit_Price]]</f>
        <v>900</v>
      </c>
      <c r="M689" s="10">
        <f>SALCE[[#This Row],[Gross_Sales]]*SALCE[[#This Row],[Discount_%]]/100</f>
        <v>0</v>
      </c>
      <c r="N689" s="10">
        <f>SALCE[[#This Row],[After_Discount]]+SALCE[[#This Row],[Tax_Value]]</f>
        <v>901.26</v>
      </c>
      <c r="O689" s="10">
        <f>SALCE[[#This Row],[Gross_Sales]]*70%</f>
        <v>630</v>
      </c>
      <c r="P689" s="10">
        <f>SALCE[[#This Row],[Net_Sales]]-SALCE[[#This Row],[Cost_Price]]</f>
        <v>271.26</v>
      </c>
      <c r="Q689" s="10">
        <f>SALCE[[#This Row],[Gross_Sales]]-SALCE[[#This Row],[Discount_Value]]</f>
        <v>900</v>
      </c>
      <c r="R689" s="15" t="s">
        <v>60</v>
      </c>
      <c r="S689" s="15" t="s">
        <v>21</v>
      </c>
      <c r="T689" s="15" t="s">
        <v>22</v>
      </c>
    </row>
    <row r="690" spans="1:20" s="12" customFormat="1" ht="30" customHeight="1" thickTop="1" thickBot="1" x14ac:dyDescent="0.4">
      <c r="A690" s="7">
        <v>1689</v>
      </c>
      <c r="B690" s="8">
        <v>45981</v>
      </c>
      <c r="C690" s="14" t="s">
        <v>35</v>
      </c>
      <c r="D690" s="14" t="s">
        <v>29</v>
      </c>
      <c r="E690" s="14" t="s">
        <v>19</v>
      </c>
      <c r="F690" s="14" t="s">
        <v>20</v>
      </c>
      <c r="G690" s="7">
        <v>9</v>
      </c>
      <c r="H690" s="7">
        <v>300</v>
      </c>
      <c r="I690" s="9">
        <v>15</v>
      </c>
      <c r="J690" s="10">
        <f>SALCE[[#This Row],[After_Discount]]*SALCE[[#This Row],[Tax_%]]/100</f>
        <v>3.2130000000000001</v>
      </c>
      <c r="K690" s="11">
        <v>0.14000000000000001</v>
      </c>
      <c r="L690" s="10">
        <f>SALCE[[#This Row],[Quantity]]*SALCE[[#This Row],[Unit_Price]]</f>
        <v>2700</v>
      </c>
      <c r="M690" s="10">
        <f>SALCE[[#This Row],[Gross_Sales]]*SALCE[[#This Row],[Discount_%]]/100</f>
        <v>405</v>
      </c>
      <c r="N690" s="10">
        <f>SALCE[[#This Row],[After_Discount]]+SALCE[[#This Row],[Tax_Value]]</f>
        <v>2298.2130000000002</v>
      </c>
      <c r="O690" s="10">
        <f>SALCE[[#This Row],[Gross_Sales]]*70%</f>
        <v>1889.9999999999998</v>
      </c>
      <c r="P690" s="10">
        <f>SALCE[[#This Row],[Net_Sales]]-SALCE[[#This Row],[Cost_Price]]</f>
        <v>408.21300000000042</v>
      </c>
      <c r="Q690" s="10">
        <f>SALCE[[#This Row],[Gross_Sales]]-SALCE[[#This Row],[Discount_Value]]</f>
        <v>2295</v>
      </c>
      <c r="R690" s="15" t="s">
        <v>62</v>
      </c>
      <c r="S690" s="15" t="s">
        <v>21</v>
      </c>
      <c r="T690" s="15" t="s">
        <v>27</v>
      </c>
    </row>
    <row r="691" spans="1:20" s="12" customFormat="1" ht="30" customHeight="1" thickTop="1" thickBot="1" x14ac:dyDescent="0.4">
      <c r="A691" s="7">
        <v>1690</v>
      </c>
      <c r="B691" s="8">
        <v>45982</v>
      </c>
      <c r="C691" s="14" t="s">
        <v>39</v>
      </c>
      <c r="D691" s="14" t="s">
        <v>29</v>
      </c>
      <c r="E691" s="14" t="s">
        <v>25</v>
      </c>
      <c r="F691" s="14" t="s">
        <v>20</v>
      </c>
      <c r="G691" s="7">
        <v>9</v>
      </c>
      <c r="H691" s="7">
        <v>500</v>
      </c>
      <c r="I691" s="9">
        <v>0</v>
      </c>
      <c r="J691" s="10">
        <f>SALCE[[#This Row],[After_Discount]]*SALCE[[#This Row],[Tax_%]]/100</f>
        <v>6.3000000000000007</v>
      </c>
      <c r="K691" s="11">
        <v>0.14000000000000001</v>
      </c>
      <c r="L691" s="10">
        <f>SALCE[[#This Row],[Quantity]]*SALCE[[#This Row],[Unit_Price]]</f>
        <v>4500</v>
      </c>
      <c r="M691" s="10">
        <f>SALCE[[#This Row],[Gross_Sales]]*SALCE[[#This Row],[Discount_%]]/100</f>
        <v>0</v>
      </c>
      <c r="N691" s="10">
        <f>SALCE[[#This Row],[After_Discount]]+SALCE[[#This Row],[Tax_Value]]</f>
        <v>4506.3</v>
      </c>
      <c r="O691" s="10">
        <f>SALCE[[#This Row],[Gross_Sales]]*70%</f>
        <v>3150</v>
      </c>
      <c r="P691" s="10">
        <f>SALCE[[#This Row],[Net_Sales]]-SALCE[[#This Row],[Cost_Price]]</f>
        <v>1356.3000000000002</v>
      </c>
      <c r="Q691" s="10">
        <f>SALCE[[#This Row],[Gross_Sales]]-SALCE[[#This Row],[Discount_Value]]</f>
        <v>4500</v>
      </c>
      <c r="R691" s="15" t="s">
        <v>49</v>
      </c>
      <c r="S691" s="15" t="s">
        <v>37</v>
      </c>
      <c r="T691" s="15" t="s">
        <v>27</v>
      </c>
    </row>
    <row r="692" spans="1:20" s="12" customFormat="1" ht="30" customHeight="1" thickTop="1" thickBot="1" x14ac:dyDescent="0.4">
      <c r="A692" s="7">
        <v>1691</v>
      </c>
      <c r="B692" s="8">
        <v>45983</v>
      </c>
      <c r="C692" s="14" t="s">
        <v>17</v>
      </c>
      <c r="D692" s="14" t="s">
        <v>38</v>
      </c>
      <c r="E692" s="14" t="s">
        <v>31</v>
      </c>
      <c r="F692" s="14" t="s">
        <v>32</v>
      </c>
      <c r="G692" s="7">
        <v>5</v>
      </c>
      <c r="H692" s="7">
        <v>15000</v>
      </c>
      <c r="I692" s="9">
        <v>15</v>
      </c>
      <c r="J692" s="10">
        <f>SALCE[[#This Row],[After_Discount]]*SALCE[[#This Row],[Tax_%]]/100</f>
        <v>89.25</v>
      </c>
      <c r="K692" s="11">
        <v>0.14000000000000001</v>
      </c>
      <c r="L692" s="10">
        <f>SALCE[[#This Row],[Quantity]]*SALCE[[#This Row],[Unit_Price]]</f>
        <v>75000</v>
      </c>
      <c r="M692" s="10">
        <f>SALCE[[#This Row],[Gross_Sales]]*SALCE[[#This Row],[Discount_%]]/100</f>
        <v>11250</v>
      </c>
      <c r="N692" s="10">
        <f>SALCE[[#This Row],[After_Discount]]+SALCE[[#This Row],[Tax_Value]]</f>
        <v>63839.25</v>
      </c>
      <c r="O692" s="10">
        <f>SALCE[[#This Row],[Gross_Sales]]*70%</f>
        <v>52500</v>
      </c>
      <c r="P692" s="10">
        <f>SALCE[[#This Row],[Net_Sales]]-SALCE[[#This Row],[Cost_Price]]</f>
        <v>11339.25</v>
      </c>
      <c r="Q692" s="10">
        <f>SALCE[[#This Row],[Gross_Sales]]-SALCE[[#This Row],[Discount_Value]]</f>
        <v>63750</v>
      </c>
      <c r="R692" s="15" t="s">
        <v>59</v>
      </c>
      <c r="S692" s="15" t="s">
        <v>37</v>
      </c>
      <c r="T692" s="15" t="s">
        <v>22</v>
      </c>
    </row>
    <row r="693" spans="1:20" s="12" customFormat="1" ht="30" customHeight="1" thickTop="1" thickBot="1" x14ac:dyDescent="0.4">
      <c r="A693" s="7">
        <v>1692</v>
      </c>
      <c r="B693" s="8">
        <v>45984</v>
      </c>
      <c r="C693" s="14" t="s">
        <v>30</v>
      </c>
      <c r="D693" s="14" t="s">
        <v>18</v>
      </c>
      <c r="E693" s="14" t="s">
        <v>34</v>
      </c>
      <c r="F693" s="14" t="s">
        <v>32</v>
      </c>
      <c r="G693" s="7">
        <v>8</v>
      </c>
      <c r="H693" s="7">
        <v>4000</v>
      </c>
      <c r="I693" s="9">
        <v>15</v>
      </c>
      <c r="J693" s="10">
        <f>SALCE[[#This Row],[After_Discount]]*SALCE[[#This Row],[Tax_%]]/100</f>
        <v>38.080000000000005</v>
      </c>
      <c r="K693" s="11">
        <v>0.14000000000000001</v>
      </c>
      <c r="L693" s="10">
        <f>SALCE[[#This Row],[Quantity]]*SALCE[[#This Row],[Unit_Price]]</f>
        <v>32000</v>
      </c>
      <c r="M693" s="10">
        <f>SALCE[[#This Row],[Gross_Sales]]*SALCE[[#This Row],[Discount_%]]/100</f>
        <v>4800</v>
      </c>
      <c r="N693" s="10">
        <f>SALCE[[#This Row],[After_Discount]]+SALCE[[#This Row],[Tax_Value]]</f>
        <v>27238.080000000002</v>
      </c>
      <c r="O693" s="10">
        <f>SALCE[[#This Row],[Gross_Sales]]*70%</f>
        <v>22400</v>
      </c>
      <c r="P693" s="10">
        <f>SALCE[[#This Row],[Net_Sales]]-SALCE[[#This Row],[Cost_Price]]</f>
        <v>4838.0800000000017</v>
      </c>
      <c r="Q693" s="10">
        <f>SALCE[[#This Row],[Gross_Sales]]-SALCE[[#This Row],[Discount_Value]]</f>
        <v>27200</v>
      </c>
      <c r="R693" s="15" t="s">
        <v>54</v>
      </c>
      <c r="S693" s="15" t="s">
        <v>21</v>
      </c>
      <c r="T693" s="15" t="s">
        <v>27</v>
      </c>
    </row>
    <row r="694" spans="1:20" s="12" customFormat="1" ht="30" customHeight="1" thickTop="1" thickBot="1" x14ac:dyDescent="0.4">
      <c r="A694" s="7">
        <v>1693</v>
      </c>
      <c r="B694" s="8">
        <v>45985</v>
      </c>
      <c r="C694" s="14" t="s">
        <v>28</v>
      </c>
      <c r="D694" s="14" t="s">
        <v>29</v>
      </c>
      <c r="E694" s="14" t="s">
        <v>34</v>
      </c>
      <c r="F694" s="14" t="s">
        <v>32</v>
      </c>
      <c r="G694" s="7">
        <v>1</v>
      </c>
      <c r="H694" s="7">
        <v>4000</v>
      </c>
      <c r="I694" s="9">
        <v>15</v>
      </c>
      <c r="J694" s="10">
        <f>SALCE[[#This Row],[After_Discount]]*SALCE[[#This Row],[Tax_%]]/100</f>
        <v>4.7600000000000007</v>
      </c>
      <c r="K694" s="11">
        <v>0.14000000000000001</v>
      </c>
      <c r="L694" s="10">
        <f>SALCE[[#This Row],[Quantity]]*SALCE[[#This Row],[Unit_Price]]</f>
        <v>4000</v>
      </c>
      <c r="M694" s="10">
        <f>SALCE[[#This Row],[Gross_Sales]]*SALCE[[#This Row],[Discount_%]]/100</f>
        <v>600</v>
      </c>
      <c r="N694" s="10">
        <f>SALCE[[#This Row],[After_Discount]]+SALCE[[#This Row],[Tax_Value]]</f>
        <v>3404.76</v>
      </c>
      <c r="O694" s="10">
        <f>SALCE[[#This Row],[Gross_Sales]]*70%</f>
        <v>2800</v>
      </c>
      <c r="P694" s="10">
        <f>SALCE[[#This Row],[Net_Sales]]-SALCE[[#This Row],[Cost_Price]]</f>
        <v>604.76000000000022</v>
      </c>
      <c r="Q694" s="10">
        <f>SALCE[[#This Row],[Gross_Sales]]-SALCE[[#This Row],[Discount_Value]]</f>
        <v>3400</v>
      </c>
      <c r="R694" s="15" t="s">
        <v>52</v>
      </c>
      <c r="S694" s="15" t="s">
        <v>37</v>
      </c>
      <c r="T694" s="15" t="s">
        <v>27</v>
      </c>
    </row>
    <row r="695" spans="1:20" s="12" customFormat="1" ht="30" customHeight="1" thickTop="1" thickBot="1" x14ac:dyDescent="0.4">
      <c r="A695" s="7">
        <v>1694</v>
      </c>
      <c r="B695" s="8">
        <v>45986</v>
      </c>
      <c r="C695" s="14" t="s">
        <v>39</v>
      </c>
      <c r="D695" s="14" t="s">
        <v>18</v>
      </c>
      <c r="E695" s="14" t="s">
        <v>33</v>
      </c>
      <c r="F695" s="14" t="s">
        <v>32</v>
      </c>
      <c r="G695" s="7">
        <v>6</v>
      </c>
      <c r="H695" s="7">
        <v>6000</v>
      </c>
      <c r="I695" s="9">
        <v>15</v>
      </c>
      <c r="J695" s="10">
        <f>SALCE[[#This Row],[After_Discount]]*SALCE[[#This Row],[Tax_%]]/100</f>
        <v>42.84</v>
      </c>
      <c r="K695" s="11">
        <v>0.14000000000000001</v>
      </c>
      <c r="L695" s="10">
        <f>SALCE[[#This Row],[Quantity]]*SALCE[[#This Row],[Unit_Price]]</f>
        <v>36000</v>
      </c>
      <c r="M695" s="10">
        <f>SALCE[[#This Row],[Gross_Sales]]*SALCE[[#This Row],[Discount_%]]/100</f>
        <v>5400</v>
      </c>
      <c r="N695" s="10">
        <f>SALCE[[#This Row],[After_Discount]]+SALCE[[#This Row],[Tax_Value]]</f>
        <v>30642.84</v>
      </c>
      <c r="O695" s="10">
        <f>SALCE[[#This Row],[Gross_Sales]]*70%</f>
        <v>25200</v>
      </c>
      <c r="P695" s="10">
        <f>SALCE[[#This Row],[Net_Sales]]-SALCE[[#This Row],[Cost_Price]]</f>
        <v>5442.84</v>
      </c>
      <c r="Q695" s="10">
        <f>SALCE[[#This Row],[Gross_Sales]]-SALCE[[#This Row],[Discount_Value]]</f>
        <v>30600</v>
      </c>
      <c r="R695" s="15" t="s">
        <v>47</v>
      </c>
      <c r="S695" s="15" t="s">
        <v>26</v>
      </c>
      <c r="T695" s="15" t="s">
        <v>27</v>
      </c>
    </row>
    <row r="696" spans="1:20" s="12" customFormat="1" ht="30" customHeight="1" thickTop="1" thickBot="1" x14ac:dyDescent="0.4">
      <c r="A696" s="7">
        <v>1695</v>
      </c>
      <c r="B696" s="8">
        <v>45987</v>
      </c>
      <c r="C696" s="14" t="s">
        <v>35</v>
      </c>
      <c r="D696" s="14" t="s">
        <v>36</v>
      </c>
      <c r="E696" s="14" t="s">
        <v>40</v>
      </c>
      <c r="F696" s="14" t="s">
        <v>20</v>
      </c>
      <c r="G696" s="7">
        <v>4</v>
      </c>
      <c r="H696" s="7">
        <v>800</v>
      </c>
      <c r="I696" s="9">
        <v>5</v>
      </c>
      <c r="J696" s="10">
        <f>SALCE[[#This Row],[After_Discount]]*SALCE[[#This Row],[Tax_%]]/100</f>
        <v>4.2560000000000002</v>
      </c>
      <c r="K696" s="11">
        <v>0.14000000000000001</v>
      </c>
      <c r="L696" s="10">
        <f>SALCE[[#This Row],[Quantity]]*SALCE[[#This Row],[Unit_Price]]</f>
        <v>3200</v>
      </c>
      <c r="M696" s="10">
        <f>SALCE[[#This Row],[Gross_Sales]]*SALCE[[#This Row],[Discount_%]]/100</f>
        <v>160</v>
      </c>
      <c r="N696" s="10">
        <f>SALCE[[#This Row],[After_Discount]]+SALCE[[#This Row],[Tax_Value]]</f>
        <v>3044.2559999999999</v>
      </c>
      <c r="O696" s="10">
        <f>SALCE[[#This Row],[Gross_Sales]]*70%</f>
        <v>2240</v>
      </c>
      <c r="P696" s="10">
        <f>SALCE[[#This Row],[Net_Sales]]-SALCE[[#This Row],[Cost_Price]]</f>
        <v>804.25599999999986</v>
      </c>
      <c r="Q696" s="10">
        <f>SALCE[[#This Row],[Gross_Sales]]-SALCE[[#This Row],[Discount_Value]]</f>
        <v>3040</v>
      </c>
      <c r="R696" s="15" t="s">
        <v>56</v>
      </c>
      <c r="S696" s="15" t="s">
        <v>21</v>
      </c>
      <c r="T696" s="15" t="s">
        <v>27</v>
      </c>
    </row>
    <row r="697" spans="1:20" s="12" customFormat="1" ht="30" customHeight="1" thickTop="1" thickBot="1" x14ac:dyDescent="0.4">
      <c r="A697" s="7">
        <v>1696</v>
      </c>
      <c r="B697" s="8">
        <v>45988</v>
      </c>
      <c r="C697" s="14" t="s">
        <v>17</v>
      </c>
      <c r="D697" s="14" t="s">
        <v>18</v>
      </c>
      <c r="E697" s="14" t="s">
        <v>25</v>
      </c>
      <c r="F697" s="14" t="s">
        <v>20</v>
      </c>
      <c r="G697" s="7">
        <v>1</v>
      </c>
      <c r="H697" s="7">
        <v>500</v>
      </c>
      <c r="I697" s="9">
        <v>5</v>
      </c>
      <c r="J697" s="10">
        <f>SALCE[[#This Row],[After_Discount]]*SALCE[[#This Row],[Tax_%]]/100</f>
        <v>0.66500000000000004</v>
      </c>
      <c r="K697" s="11">
        <v>0.14000000000000001</v>
      </c>
      <c r="L697" s="10">
        <f>SALCE[[#This Row],[Quantity]]*SALCE[[#This Row],[Unit_Price]]</f>
        <v>500</v>
      </c>
      <c r="M697" s="10">
        <f>SALCE[[#This Row],[Gross_Sales]]*SALCE[[#This Row],[Discount_%]]/100</f>
        <v>25</v>
      </c>
      <c r="N697" s="10">
        <f>SALCE[[#This Row],[After_Discount]]+SALCE[[#This Row],[Tax_Value]]</f>
        <v>475.66500000000002</v>
      </c>
      <c r="O697" s="10">
        <f>SALCE[[#This Row],[Gross_Sales]]*70%</f>
        <v>350</v>
      </c>
      <c r="P697" s="10">
        <f>SALCE[[#This Row],[Net_Sales]]-SALCE[[#This Row],[Cost_Price]]</f>
        <v>125.66500000000002</v>
      </c>
      <c r="Q697" s="10">
        <f>SALCE[[#This Row],[Gross_Sales]]-SALCE[[#This Row],[Discount_Value]]</f>
        <v>475</v>
      </c>
      <c r="R697" s="15" t="s">
        <v>51</v>
      </c>
      <c r="S697" s="15" t="s">
        <v>26</v>
      </c>
      <c r="T697" s="15" t="s">
        <v>22</v>
      </c>
    </row>
    <row r="698" spans="1:20" s="12" customFormat="1" ht="30" customHeight="1" thickTop="1" thickBot="1" x14ac:dyDescent="0.4">
      <c r="A698" s="7">
        <v>1697</v>
      </c>
      <c r="B698" s="8">
        <v>45989</v>
      </c>
      <c r="C698" s="14" t="s">
        <v>35</v>
      </c>
      <c r="D698" s="14" t="s">
        <v>38</v>
      </c>
      <c r="E698" s="14" t="s">
        <v>31</v>
      </c>
      <c r="F698" s="14" t="s">
        <v>32</v>
      </c>
      <c r="G698" s="7">
        <v>3</v>
      </c>
      <c r="H698" s="7">
        <v>15000</v>
      </c>
      <c r="I698" s="9">
        <v>10</v>
      </c>
      <c r="J698" s="10">
        <f>SALCE[[#This Row],[After_Discount]]*SALCE[[#This Row],[Tax_%]]/100</f>
        <v>56.70000000000001</v>
      </c>
      <c r="K698" s="11">
        <v>0.14000000000000001</v>
      </c>
      <c r="L698" s="10">
        <f>SALCE[[#This Row],[Quantity]]*SALCE[[#This Row],[Unit_Price]]</f>
        <v>45000</v>
      </c>
      <c r="M698" s="10">
        <f>SALCE[[#This Row],[Gross_Sales]]*SALCE[[#This Row],[Discount_%]]/100</f>
        <v>4500</v>
      </c>
      <c r="N698" s="10">
        <f>SALCE[[#This Row],[After_Discount]]+SALCE[[#This Row],[Tax_Value]]</f>
        <v>40556.699999999997</v>
      </c>
      <c r="O698" s="10">
        <f>SALCE[[#This Row],[Gross_Sales]]*70%</f>
        <v>31499.999999999996</v>
      </c>
      <c r="P698" s="10">
        <f>SALCE[[#This Row],[Net_Sales]]-SALCE[[#This Row],[Cost_Price]]</f>
        <v>9056.7000000000007</v>
      </c>
      <c r="Q698" s="10">
        <f>SALCE[[#This Row],[Gross_Sales]]-SALCE[[#This Row],[Discount_Value]]</f>
        <v>40500</v>
      </c>
      <c r="R698" s="15" t="s">
        <v>49</v>
      </c>
      <c r="S698" s="15" t="s">
        <v>21</v>
      </c>
      <c r="T698" s="15" t="s">
        <v>22</v>
      </c>
    </row>
    <row r="699" spans="1:20" s="12" customFormat="1" ht="30" customHeight="1" thickTop="1" thickBot="1" x14ac:dyDescent="0.4">
      <c r="A699" s="7">
        <v>1698</v>
      </c>
      <c r="B699" s="8">
        <v>45990</v>
      </c>
      <c r="C699" s="14" t="s">
        <v>39</v>
      </c>
      <c r="D699" s="14" t="s">
        <v>38</v>
      </c>
      <c r="E699" s="14" t="s">
        <v>33</v>
      </c>
      <c r="F699" s="14" t="s">
        <v>32</v>
      </c>
      <c r="G699" s="7">
        <v>8</v>
      </c>
      <c r="H699" s="7">
        <v>6000</v>
      </c>
      <c r="I699" s="9">
        <v>5</v>
      </c>
      <c r="J699" s="10">
        <f>SALCE[[#This Row],[After_Discount]]*SALCE[[#This Row],[Tax_%]]/100</f>
        <v>63.840000000000011</v>
      </c>
      <c r="K699" s="11">
        <v>0.14000000000000001</v>
      </c>
      <c r="L699" s="10">
        <f>SALCE[[#This Row],[Quantity]]*SALCE[[#This Row],[Unit_Price]]</f>
        <v>48000</v>
      </c>
      <c r="M699" s="10">
        <f>SALCE[[#This Row],[Gross_Sales]]*SALCE[[#This Row],[Discount_%]]/100</f>
        <v>2400</v>
      </c>
      <c r="N699" s="10">
        <f>SALCE[[#This Row],[After_Discount]]+SALCE[[#This Row],[Tax_Value]]</f>
        <v>45663.839999999997</v>
      </c>
      <c r="O699" s="10">
        <f>SALCE[[#This Row],[Gross_Sales]]*70%</f>
        <v>33600</v>
      </c>
      <c r="P699" s="10">
        <f>SALCE[[#This Row],[Net_Sales]]-SALCE[[#This Row],[Cost_Price]]</f>
        <v>12063.839999999997</v>
      </c>
      <c r="Q699" s="10">
        <f>SALCE[[#This Row],[Gross_Sales]]-SALCE[[#This Row],[Discount_Value]]</f>
        <v>45600</v>
      </c>
      <c r="R699" s="15" t="s">
        <v>57</v>
      </c>
      <c r="S699" s="15" t="s">
        <v>37</v>
      </c>
      <c r="T699" s="15" t="s">
        <v>22</v>
      </c>
    </row>
    <row r="700" spans="1:20" s="12" customFormat="1" ht="30" customHeight="1" thickTop="1" thickBot="1" x14ac:dyDescent="0.4">
      <c r="A700" s="7">
        <v>1699</v>
      </c>
      <c r="B700" s="8">
        <v>45991</v>
      </c>
      <c r="C700" s="14" t="s">
        <v>17</v>
      </c>
      <c r="D700" s="14" t="s">
        <v>24</v>
      </c>
      <c r="E700" s="14" t="s">
        <v>40</v>
      </c>
      <c r="F700" s="14" t="s">
        <v>20</v>
      </c>
      <c r="G700" s="7">
        <v>10</v>
      </c>
      <c r="H700" s="7">
        <v>800</v>
      </c>
      <c r="I700" s="9">
        <v>15</v>
      </c>
      <c r="J700" s="10">
        <f>SALCE[[#This Row],[After_Discount]]*SALCE[[#This Row],[Tax_%]]/100</f>
        <v>9.5200000000000014</v>
      </c>
      <c r="K700" s="11">
        <v>0.14000000000000001</v>
      </c>
      <c r="L700" s="10">
        <f>SALCE[[#This Row],[Quantity]]*SALCE[[#This Row],[Unit_Price]]</f>
        <v>8000</v>
      </c>
      <c r="M700" s="10">
        <f>SALCE[[#This Row],[Gross_Sales]]*SALCE[[#This Row],[Discount_%]]/100</f>
        <v>1200</v>
      </c>
      <c r="N700" s="10">
        <f>SALCE[[#This Row],[After_Discount]]+SALCE[[#This Row],[Tax_Value]]</f>
        <v>6809.52</v>
      </c>
      <c r="O700" s="10">
        <f>SALCE[[#This Row],[Gross_Sales]]*70%</f>
        <v>5600</v>
      </c>
      <c r="P700" s="10">
        <f>SALCE[[#This Row],[Net_Sales]]-SALCE[[#This Row],[Cost_Price]]</f>
        <v>1209.5200000000004</v>
      </c>
      <c r="Q700" s="10">
        <f>SALCE[[#This Row],[Gross_Sales]]-SALCE[[#This Row],[Discount_Value]]</f>
        <v>6800</v>
      </c>
      <c r="R700" s="15" t="s">
        <v>58</v>
      </c>
      <c r="S700" s="15" t="s">
        <v>26</v>
      </c>
      <c r="T700" s="15" t="s">
        <v>22</v>
      </c>
    </row>
    <row r="701" spans="1:20" s="12" customFormat="1" ht="30" customHeight="1" thickTop="1" thickBot="1" x14ac:dyDescent="0.4">
      <c r="A701" s="7">
        <v>1700</v>
      </c>
      <c r="B701" s="8">
        <v>45992</v>
      </c>
      <c r="C701" s="14" t="s">
        <v>28</v>
      </c>
      <c r="D701" s="14" t="s">
        <v>36</v>
      </c>
      <c r="E701" s="14" t="s">
        <v>31</v>
      </c>
      <c r="F701" s="14" t="s">
        <v>32</v>
      </c>
      <c r="G701" s="7">
        <v>7</v>
      </c>
      <c r="H701" s="7">
        <v>15000</v>
      </c>
      <c r="I701" s="9">
        <v>15</v>
      </c>
      <c r="J701" s="10">
        <f>SALCE[[#This Row],[After_Discount]]*SALCE[[#This Row],[Tax_%]]/100</f>
        <v>124.95000000000002</v>
      </c>
      <c r="K701" s="11">
        <v>0.14000000000000001</v>
      </c>
      <c r="L701" s="10">
        <f>SALCE[[#This Row],[Quantity]]*SALCE[[#This Row],[Unit_Price]]</f>
        <v>105000</v>
      </c>
      <c r="M701" s="10">
        <f>SALCE[[#This Row],[Gross_Sales]]*SALCE[[#This Row],[Discount_%]]/100</f>
        <v>15750</v>
      </c>
      <c r="N701" s="10">
        <f>SALCE[[#This Row],[After_Discount]]+SALCE[[#This Row],[Tax_Value]]</f>
        <v>89374.95</v>
      </c>
      <c r="O701" s="10">
        <f>SALCE[[#This Row],[Gross_Sales]]*70%</f>
        <v>73500</v>
      </c>
      <c r="P701" s="10">
        <f>SALCE[[#This Row],[Net_Sales]]-SALCE[[#This Row],[Cost_Price]]</f>
        <v>15874.949999999997</v>
      </c>
      <c r="Q701" s="10">
        <f>SALCE[[#This Row],[Gross_Sales]]-SALCE[[#This Row],[Discount_Value]]</f>
        <v>89250</v>
      </c>
      <c r="R701" s="15" t="s">
        <v>51</v>
      </c>
      <c r="S701" s="15" t="s">
        <v>26</v>
      </c>
      <c r="T701" s="15" t="s">
        <v>27</v>
      </c>
    </row>
    <row r="702" spans="1:20" s="12" customFormat="1" ht="30" customHeight="1" thickTop="1" thickBot="1" x14ac:dyDescent="0.4">
      <c r="A702" s="7">
        <v>1701</v>
      </c>
      <c r="B702" s="8">
        <v>45993</v>
      </c>
      <c r="C702" s="14" t="s">
        <v>28</v>
      </c>
      <c r="D702" s="14" t="s">
        <v>41</v>
      </c>
      <c r="E702" s="14" t="s">
        <v>33</v>
      </c>
      <c r="F702" s="14" t="s">
        <v>32</v>
      </c>
      <c r="G702" s="7">
        <v>5</v>
      </c>
      <c r="H702" s="7">
        <v>6000</v>
      </c>
      <c r="I702" s="9">
        <v>15</v>
      </c>
      <c r="J702" s="10">
        <f>SALCE[[#This Row],[After_Discount]]*SALCE[[#This Row],[Tax_%]]/100</f>
        <v>35.700000000000003</v>
      </c>
      <c r="K702" s="11">
        <v>0.14000000000000001</v>
      </c>
      <c r="L702" s="10">
        <f>SALCE[[#This Row],[Quantity]]*SALCE[[#This Row],[Unit_Price]]</f>
        <v>30000</v>
      </c>
      <c r="M702" s="10">
        <f>SALCE[[#This Row],[Gross_Sales]]*SALCE[[#This Row],[Discount_%]]/100</f>
        <v>4500</v>
      </c>
      <c r="N702" s="10">
        <f>SALCE[[#This Row],[After_Discount]]+SALCE[[#This Row],[Tax_Value]]</f>
        <v>25535.7</v>
      </c>
      <c r="O702" s="10">
        <f>SALCE[[#This Row],[Gross_Sales]]*70%</f>
        <v>21000</v>
      </c>
      <c r="P702" s="10">
        <f>SALCE[[#This Row],[Net_Sales]]-SALCE[[#This Row],[Cost_Price]]</f>
        <v>4535.7000000000007</v>
      </c>
      <c r="Q702" s="10">
        <f>SALCE[[#This Row],[Gross_Sales]]-SALCE[[#This Row],[Discount_Value]]</f>
        <v>25500</v>
      </c>
      <c r="R702" s="15" t="s">
        <v>58</v>
      </c>
      <c r="S702" s="15" t="s">
        <v>37</v>
      </c>
      <c r="T702" s="15" t="s">
        <v>22</v>
      </c>
    </row>
    <row r="703" spans="1:20" s="12" customFormat="1" ht="30" customHeight="1" thickTop="1" thickBot="1" x14ac:dyDescent="0.4">
      <c r="A703" s="7">
        <v>1702</v>
      </c>
      <c r="B703" s="8">
        <v>45994</v>
      </c>
      <c r="C703" s="14" t="s">
        <v>30</v>
      </c>
      <c r="D703" s="14" t="s">
        <v>38</v>
      </c>
      <c r="E703" s="14" t="s">
        <v>19</v>
      </c>
      <c r="F703" s="14" t="s">
        <v>20</v>
      </c>
      <c r="G703" s="7">
        <v>3</v>
      </c>
      <c r="H703" s="7">
        <v>300</v>
      </c>
      <c r="I703" s="9">
        <v>10</v>
      </c>
      <c r="J703" s="10">
        <f>SALCE[[#This Row],[After_Discount]]*SALCE[[#This Row],[Tax_%]]/100</f>
        <v>1.1340000000000001</v>
      </c>
      <c r="K703" s="11">
        <v>0.14000000000000001</v>
      </c>
      <c r="L703" s="10">
        <f>SALCE[[#This Row],[Quantity]]*SALCE[[#This Row],[Unit_Price]]</f>
        <v>900</v>
      </c>
      <c r="M703" s="10">
        <f>SALCE[[#This Row],[Gross_Sales]]*SALCE[[#This Row],[Discount_%]]/100</f>
        <v>90</v>
      </c>
      <c r="N703" s="10">
        <f>SALCE[[#This Row],[After_Discount]]+SALCE[[#This Row],[Tax_Value]]</f>
        <v>811.13400000000001</v>
      </c>
      <c r="O703" s="10">
        <f>SALCE[[#This Row],[Gross_Sales]]*70%</f>
        <v>630</v>
      </c>
      <c r="P703" s="10">
        <f>SALCE[[#This Row],[Net_Sales]]-SALCE[[#This Row],[Cost_Price]]</f>
        <v>181.13400000000001</v>
      </c>
      <c r="Q703" s="10">
        <f>SALCE[[#This Row],[Gross_Sales]]-SALCE[[#This Row],[Discount_Value]]</f>
        <v>810</v>
      </c>
      <c r="R703" s="15" t="s">
        <v>60</v>
      </c>
      <c r="S703" s="15" t="s">
        <v>37</v>
      </c>
      <c r="T703" s="15" t="s">
        <v>22</v>
      </c>
    </row>
    <row r="704" spans="1:20" s="12" customFormat="1" ht="30" customHeight="1" thickTop="1" thickBot="1" x14ac:dyDescent="0.4">
      <c r="A704" s="7">
        <v>1703</v>
      </c>
      <c r="B704" s="8">
        <v>45995</v>
      </c>
      <c r="C704" s="14" t="s">
        <v>35</v>
      </c>
      <c r="D704" s="14" t="s">
        <v>24</v>
      </c>
      <c r="E704" s="14" t="s">
        <v>40</v>
      </c>
      <c r="F704" s="14" t="s">
        <v>20</v>
      </c>
      <c r="G704" s="7">
        <v>10</v>
      </c>
      <c r="H704" s="7">
        <v>800</v>
      </c>
      <c r="I704" s="9">
        <v>5</v>
      </c>
      <c r="J704" s="10">
        <f>SALCE[[#This Row],[After_Discount]]*SALCE[[#This Row],[Tax_%]]/100</f>
        <v>10.64</v>
      </c>
      <c r="K704" s="11">
        <v>0.14000000000000001</v>
      </c>
      <c r="L704" s="10">
        <f>SALCE[[#This Row],[Quantity]]*SALCE[[#This Row],[Unit_Price]]</f>
        <v>8000</v>
      </c>
      <c r="M704" s="10">
        <f>SALCE[[#This Row],[Gross_Sales]]*SALCE[[#This Row],[Discount_%]]/100</f>
        <v>400</v>
      </c>
      <c r="N704" s="10">
        <f>SALCE[[#This Row],[After_Discount]]+SALCE[[#This Row],[Tax_Value]]</f>
        <v>7610.64</v>
      </c>
      <c r="O704" s="10">
        <f>SALCE[[#This Row],[Gross_Sales]]*70%</f>
        <v>5600</v>
      </c>
      <c r="P704" s="10">
        <f>SALCE[[#This Row],[Net_Sales]]-SALCE[[#This Row],[Cost_Price]]</f>
        <v>2010.6400000000003</v>
      </c>
      <c r="Q704" s="10">
        <f>SALCE[[#This Row],[Gross_Sales]]-SALCE[[#This Row],[Discount_Value]]</f>
        <v>7600</v>
      </c>
      <c r="R704" s="15" t="s">
        <v>58</v>
      </c>
      <c r="S704" s="15" t="s">
        <v>26</v>
      </c>
      <c r="T704" s="15" t="s">
        <v>27</v>
      </c>
    </row>
    <row r="705" spans="1:20" s="12" customFormat="1" ht="30" customHeight="1" thickTop="1" thickBot="1" x14ac:dyDescent="0.4">
      <c r="A705" s="7">
        <v>1704</v>
      </c>
      <c r="B705" s="8">
        <v>45996</v>
      </c>
      <c r="C705" s="14" t="s">
        <v>35</v>
      </c>
      <c r="D705" s="14" t="s">
        <v>18</v>
      </c>
      <c r="E705" s="14" t="s">
        <v>34</v>
      </c>
      <c r="F705" s="14" t="s">
        <v>32</v>
      </c>
      <c r="G705" s="7">
        <v>5</v>
      </c>
      <c r="H705" s="7">
        <v>4000</v>
      </c>
      <c r="I705" s="9">
        <v>0</v>
      </c>
      <c r="J705" s="10">
        <f>SALCE[[#This Row],[After_Discount]]*SALCE[[#This Row],[Tax_%]]/100</f>
        <v>28.000000000000004</v>
      </c>
      <c r="K705" s="11">
        <v>0.14000000000000001</v>
      </c>
      <c r="L705" s="10">
        <f>SALCE[[#This Row],[Quantity]]*SALCE[[#This Row],[Unit_Price]]</f>
        <v>20000</v>
      </c>
      <c r="M705" s="10">
        <f>SALCE[[#This Row],[Gross_Sales]]*SALCE[[#This Row],[Discount_%]]/100</f>
        <v>0</v>
      </c>
      <c r="N705" s="10">
        <f>SALCE[[#This Row],[After_Discount]]+SALCE[[#This Row],[Tax_Value]]</f>
        <v>20028</v>
      </c>
      <c r="O705" s="10">
        <f>SALCE[[#This Row],[Gross_Sales]]*70%</f>
        <v>14000</v>
      </c>
      <c r="P705" s="10">
        <f>SALCE[[#This Row],[Net_Sales]]-SALCE[[#This Row],[Cost_Price]]</f>
        <v>6028</v>
      </c>
      <c r="Q705" s="10">
        <f>SALCE[[#This Row],[Gross_Sales]]-SALCE[[#This Row],[Discount_Value]]</f>
        <v>20000</v>
      </c>
      <c r="R705" s="15" t="s">
        <v>52</v>
      </c>
      <c r="S705" s="15" t="s">
        <v>37</v>
      </c>
      <c r="T705" s="15" t="s">
        <v>22</v>
      </c>
    </row>
    <row r="706" spans="1:20" s="12" customFormat="1" ht="30" customHeight="1" thickTop="1" thickBot="1" x14ac:dyDescent="0.4">
      <c r="A706" s="7">
        <v>1705</v>
      </c>
      <c r="B706" s="8">
        <v>45997</v>
      </c>
      <c r="C706" s="14" t="s">
        <v>23</v>
      </c>
      <c r="D706" s="14" t="s">
        <v>18</v>
      </c>
      <c r="E706" s="14" t="s">
        <v>34</v>
      </c>
      <c r="F706" s="14" t="s">
        <v>32</v>
      </c>
      <c r="G706" s="7">
        <v>6</v>
      </c>
      <c r="H706" s="7">
        <v>4000</v>
      </c>
      <c r="I706" s="9">
        <v>10</v>
      </c>
      <c r="J706" s="10">
        <f>SALCE[[#This Row],[After_Discount]]*SALCE[[#This Row],[Tax_%]]/100</f>
        <v>30.240000000000006</v>
      </c>
      <c r="K706" s="11">
        <v>0.14000000000000001</v>
      </c>
      <c r="L706" s="10">
        <f>SALCE[[#This Row],[Quantity]]*SALCE[[#This Row],[Unit_Price]]</f>
        <v>24000</v>
      </c>
      <c r="M706" s="10">
        <f>SALCE[[#This Row],[Gross_Sales]]*SALCE[[#This Row],[Discount_%]]/100</f>
        <v>2400</v>
      </c>
      <c r="N706" s="10">
        <f>SALCE[[#This Row],[After_Discount]]+SALCE[[#This Row],[Tax_Value]]</f>
        <v>21630.240000000002</v>
      </c>
      <c r="O706" s="10">
        <f>SALCE[[#This Row],[Gross_Sales]]*70%</f>
        <v>16800</v>
      </c>
      <c r="P706" s="10">
        <f>SALCE[[#This Row],[Net_Sales]]-SALCE[[#This Row],[Cost_Price]]</f>
        <v>4830.2400000000016</v>
      </c>
      <c r="Q706" s="10">
        <f>SALCE[[#This Row],[Gross_Sales]]-SALCE[[#This Row],[Discount_Value]]</f>
        <v>21600</v>
      </c>
      <c r="R706" s="15" t="s">
        <v>61</v>
      </c>
      <c r="S706" s="15" t="s">
        <v>37</v>
      </c>
      <c r="T706" s="15" t="s">
        <v>22</v>
      </c>
    </row>
    <row r="707" spans="1:20" s="12" customFormat="1" ht="30" customHeight="1" thickTop="1" thickBot="1" x14ac:dyDescent="0.4">
      <c r="A707" s="7">
        <v>1706</v>
      </c>
      <c r="B707" s="8">
        <v>45998</v>
      </c>
      <c r="C707" s="14" t="s">
        <v>30</v>
      </c>
      <c r="D707" s="14" t="s">
        <v>41</v>
      </c>
      <c r="E707" s="14" t="s">
        <v>19</v>
      </c>
      <c r="F707" s="14" t="s">
        <v>20</v>
      </c>
      <c r="G707" s="7">
        <v>5</v>
      </c>
      <c r="H707" s="7">
        <v>300</v>
      </c>
      <c r="I707" s="9">
        <v>10</v>
      </c>
      <c r="J707" s="10">
        <f>SALCE[[#This Row],[After_Discount]]*SALCE[[#This Row],[Tax_%]]/100</f>
        <v>1.8900000000000003</v>
      </c>
      <c r="K707" s="11">
        <v>0.14000000000000001</v>
      </c>
      <c r="L707" s="10">
        <f>SALCE[[#This Row],[Quantity]]*SALCE[[#This Row],[Unit_Price]]</f>
        <v>1500</v>
      </c>
      <c r="M707" s="10">
        <f>SALCE[[#This Row],[Gross_Sales]]*SALCE[[#This Row],[Discount_%]]/100</f>
        <v>150</v>
      </c>
      <c r="N707" s="10">
        <f>SALCE[[#This Row],[After_Discount]]+SALCE[[#This Row],[Tax_Value]]</f>
        <v>1351.89</v>
      </c>
      <c r="O707" s="10">
        <f>SALCE[[#This Row],[Gross_Sales]]*70%</f>
        <v>1050</v>
      </c>
      <c r="P707" s="10">
        <f>SALCE[[#This Row],[Net_Sales]]-SALCE[[#This Row],[Cost_Price]]</f>
        <v>301.8900000000001</v>
      </c>
      <c r="Q707" s="10">
        <f>SALCE[[#This Row],[Gross_Sales]]-SALCE[[#This Row],[Discount_Value]]</f>
        <v>1350</v>
      </c>
      <c r="R707" s="15" t="s">
        <v>61</v>
      </c>
      <c r="S707" s="15" t="s">
        <v>37</v>
      </c>
      <c r="T707" s="15" t="s">
        <v>22</v>
      </c>
    </row>
    <row r="708" spans="1:20" s="12" customFormat="1" ht="30" customHeight="1" thickTop="1" thickBot="1" x14ac:dyDescent="0.4">
      <c r="A708" s="7">
        <v>1707</v>
      </c>
      <c r="B708" s="8">
        <v>45999</v>
      </c>
      <c r="C708" s="14" t="s">
        <v>30</v>
      </c>
      <c r="D708" s="14" t="s">
        <v>29</v>
      </c>
      <c r="E708" s="14" t="s">
        <v>34</v>
      </c>
      <c r="F708" s="14" t="s">
        <v>32</v>
      </c>
      <c r="G708" s="7">
        <v>5</v>
      </c>
      <c r="H708" s="7">
        <v>4000</v>
      </c>
      <c r="I708" s="9">
        <v>10</v>
      </c>
      <c r="J708" s="10">
        <f>SALCE[[#This Row],[After_Discount]]*SALCE[[#This Row],[Tax_%]]/100</f>
        <v>25.200000000000003</v>
      </c>
      <c r="K708" s="11">
        <v>0.14000000000000001</v>
      </c>
      <c r="L708" s="10">
        <f>SALCE[[#This Row],[Quantity]]*SALCE[[#This Row],[Unit_Price]]</f>
        <v>20000</v>
      </c>
      <c r="M708" s="10">
        <f>SALCE[[#This Row],[Gross_Sales]]*SALCE[[#This Row],[Discount_%]]/100</f>
        <v>2000</v>
      </c>
      <c r="N708" s="10">
        <f>SALCE[[#This Row],[After_Discount]]+SALCE[[#This Row],[Tax_Value]]</f>
        <v>18025.2</v>
      </c>
      <c r="O708" s="10">
        <f>SALCE[[#This Row],[Gross_Sales]]*70%</f>
        <v>14000</v>
      </c>
      <c r="P708" s="10">
        <f>SALCE[[#This Row],[Net_Sales]]-SALCE[[#This Row],[Cost_Price]]</f>
        <v>4025.2000000000007</v>
      </c>
      <c r="Q708" s="10">
        <f>SALCE[[#This Row],[Gross_Sales]]-SALCE[[#This Row],[Discount_Value]]</f>
        <v>18000</v>
      </c>
      <c r="R708" s="15" t="s">
        <v>51</v>
      </c>
      <c r="S708" s="15" t="s">
        <v>26</v>
      </c>
      <c r="T708" s="15" t="s">
        <v>22</v>
      </c>
    </row>
    <row r="709" spans="1:20" s="12" customFormat="1" ht="30" customHeight="1" thickTop="1" thickBot="1" x14ac:dyDescent="0.4">
      <c r="A709" s="7">
        <v>1708</v>
      </c>
      <c r="B709" s="8">
        <v>46000</v>
      </c>
      <c r="C709" s="14" t="s">
        <v>35</v>
      </c>
      <c r="D709" s="14" t="s">
        <v>38</v>
      </c>
      <c r="E709" s="14" t="s">
        <v>25</v>
      </c>
      <c r="F709" s="14" t="s">
        <v>20</v>
      </c>
      <c r="G709" s="7">
        <v>8</v>
      </c>
      <c r="H709" s="7">
        <v>500</v>
      </c>
      <c r="I709" s="9">
        <v>0</v>
      </c>
      <c r="J709" s="10">
        <f>SALCE[[#This Row],[After_Discount]]*SALCE[[#This Row],[Tax_%]]/100</f>
        <v>5.6</v>
      </c>
      <c r="K709" s="11">
        <v>0.14000000000000001</v>
      </c>
      <c r="L709" s="10">
        <f>SALCE[[#This Row],[Quantity]]*SALCE[[#This Row],[Unit_Price]]</f>
        <v>4000</v>
      </c>
      <c r="M709" s="10">
        <f>SALCE[[#This Row],[Gross_Sales]]*SALCE[[#This Row],[Discount_%]]/100</f>
        <v>0</v>
      </c>
      <c r="N709" s="10">
        <f>SALCE[[#This Row],[After_Discount]]+SALCE[[#This Row],[Tax_Value]]</f>
        <v>4005.6</v>
      </c>
      <c r="O709" s="10">
        <f>SALCE[[#This Row],[Gross_Sales]]*70%</f>
        <v>2800</v>
      </c>
      <c r="P709" s="10">
        <f>SALCE[[#This Row],[Net_Sales]]-SALCE[[#This Row],[Cost_Price]]</f>
        <v>1205.5999999999999</v>
      </c>
      <c r="Q709" s="10">
        <f>SALCE[[#This Row],[Gross_Sales]]-SALCE[[#This Row],[Discount_Value]]</f>
        <v>4000</v>
      </c>
      <c r="R709" s="15" t="s">
        <v>51</v>
      </c>
      <c r="S709" s="15" t="s">
        <v>21</v>
      </c>
      <c r="T709" s="15" t="s">
        <v>22</v>
      </c>
    </row>
    <row r="710" spans="1:20" s="12" customFormat="1" ht="30" customHeight="1" thickTop="1" thickBot="1" x14ac:dyDescent="0.4">
      <c r="A710" s="7">
        <v>1709</v>
      </c>
      <c r="B710" s="8">
        <v>46001</v>
      </c>
      <c r="C710" s="14" t="s">
        <v>39</v>
      </c>
      <c r="D710" s="14" t="s">
        <v>18</v>
      </c>
      <c r="E710" s="14" t="s">
        <v>34</v>
      </c>
      <c r="F710" s="14" t="s">
        <v>32</v>
      </c>
      <c r="G710" s="7">
        <v>5</v>
      </c>
      <c r="H710" s="7">
        <v>4000</v>
      </c>
      <c r="I710" s="9">
        <v>5</v>
      </c>
      <c r="J710" s="10">
        <f>SALCE[[#This Row],[After_Discount]]*SALCE[[#This Row],[Tax_%]]/100</f>
        <v>26.600000000000005</v>
      </c>
      <c r="K710" s="11">
        <v>0.14000000000000001</v>
      </c>
      <c r="L710" s="10">
        <f>SALCE[[#This Row],[Quantity]]*SALCE[[#This Row],[Unit_Price]]</f>
        <v>20000</v>
      </c>
      <c r="M710" s="10">
        <f>SALCE[[#This Row],[Gross_Sales]]*SALCE[[#This Row],[Discount_%]]/100</f>
        <v>1000</v>
      </c>
      <c r="N710" s="10">
        <f>SALCE[[#This Row],[After_Discount]]+SALCE[[#This Row],[Tax_Value]]</f>
        <v>19026.599999999999</v>
      </c>
      <c r="O710" s="10">
        <f>SALCE[[#This Row],[Gross_Sales]]*70%</f>
        <v>14000</v>
      </c>
      <c r="P710" s="10">
        <f>SALCE[[#This Row],[Net_Sales]]-SALCE[[#This Row],[Cost_Price]]</f>
        <v>5026.5999999999985</v>
      </c>
      <c r="Q710" s="10">
        <f>SALCE[[#This Row],[Gross_Sales]]-SALCE[[#This Row],[Discount_Value]]</f>
        <v>19000</v>
      </c>
      <c r="R710" s="15" t="s">
        <v>59</v>
      </c>
      <c r="S710" s="15" t="s">
        <v>26</v>
      </c>
      <c r="T710" s="15" t="s">
        <v>27</v>
      </c>
    </row>
    <row r="711" spans="1:20" s="12" customFormat="1" ht="30" customHeight="1" thickTop="1" thickBot="1" x14ac:dyDescent="0.4">
      <c r="A711" s="7">
        <v>1710</v>
      </c>
      <c r="B711" s="8">
        <v>46002</v>
      </c>
      <c r="C711" s="14" t="s">
        <v>30</v>
      </c>
      <c r="D711" s="14" t="s">
        <v>24</v>
      </c>
      <c r="E711" s="14" t="s">
        <v>40</v>
      </c>
      <c r="F711" s="14" t="s">
        <v>20</v>
      </c>
      <c r="G711" s="7">
        <v>4</v>
      </c>
      <c r="H711" s="7">
        <v>800</v>
      </c>
      <c r="I711" s="9">
        <v>5</v>
      </c>
      <c r="J711" s="10">
        <f>SALCE[[#This Row],[After_Discount]]*SALCE[[#This Row],[Tax_%]]/100</f>
        <v>4.2560000000000002</v>
      </c>
      <c r="K711" s="11">
        <v>0.14000000000000001</v>
      </c>
      <c r="L711" s="10">
        <f>SALCE[[#This Row],[Quantity]]*SALCE[[#This Row],[Unit_Price]]</f>
        <v>3200</v>
      </c>
      <c r="M711" s="10">
        <f>SALCE[[#This Row],[Gross_Sales]]*SALCE[[#This Row],[Discount_%]]/100</f>
        <v>160</v>
      </c>
      <c r="N711" s="10">
        <f>SALCE[[#This Row],[After_Discount]]+SALCE[[#This Row],[Tax_Value]]</f>
        <v>3044.2559999999999</v>
      </c>
      <c r="O711" s="10">
        <f>SALCE[[#This Row],[Gross_Sales]]*70%</f>
        <v>2240</v>
      </c>
      <c r="P711" s="10">
        <f>SALCE[[#This Row],[Net_Sales]]-SALCE[[#This Row],[Cost_Price]]</f>
        <v>804.25599999999986</v>
      </c>
      <c r="Q711" s="10">
        <f>SALCE[[#This Row],[Gross_Sales]]-SALCE[[#This Row],[Discount_Value]]</f>
        <v>3040</v>
      </c>
      <c r="R711" s="15" t="s">
        <v>59</v>
      </c>
      <c r="S711" s="15" t="s">
        <v>21</v>
      </c>
      <c r="T711" s="15" t="s">
        <v>22</v>
      </c>
    </row>
    <row r="712" spans="1:20" s="12" customFormat="1" ht="30" customHeight="1" thickTop="1" thickBot="1" x14ac:dyDescent="0.4">
      <c r="A712" s="7">
        <v>1711</v>
      </c>
      <c r="B712" s="8">
        <v>46003</v>
      </c>
      <c r="C712" s="14" t="s">
        <v>17</v>
      </c>
      <c r="D712" s="14" t="s">
        <v>18</v>
      </c>
      <c r="E712" s="14" t="s">
        <v>33</v>
      </c>
      <c r="F712" s="14" t="s">
        <v>32</v>
      </c>
      <c r="G712" s="7">
        <v>1</v>
      </c>
      <c r="H712" s="7">
        <v>6000</v>
      </c>
      <c r="I712" s="9">
        <v>5</v>
      </c>
      <c r="J712" s="10">
        <f>SALCE[[#This Row],[After_Discount]]*SALCE[[#This Row],[Tax_%]]/100</f>
        <v>7.9800000000000013</v>
      </c>
      <c r="K712" s="11">
        <v>0.14000000000000001</v>
      </c>
      <c r="L712" s="10">
        <f>SALCE[[#This Row],[Quantity]]*SALCE[[#This Row],[Unit_Price]]</f>
        <v>6000</v>
      </c>
      <c r="M712" s="10">
        <f>SALCE[[#This Row],[Gross_Sales]]*SALCE[[#This Row],[Discount_%]]/100</f>
        <v>300</v>
      </c>
      <c r="N712" s="10">
        <f>SALCE[[#This Row],[After_Discount]]+SALCE[[#This Row],[Tax_Value]]</f>
        <v>5707.98</v>
      </c>
      <c r="O712" s="10">
        <f>SALCE[[#This Row],[Gross_Sales]]*70%</f>
        <v>4200</v>
      </c>
      <c r="P712" s="10">
        <f>SALCE[[#This Row],[Net_Sales]]-SALCE[[#This Row],[Cost_Price]]</f>
        <v>1507.9799999999996</v>
      </c>
      <c r="Q712" s="10">
        <f>SALCE[[#This Row],[Gross_Sales]]-SALCE[[#This Row],[Discount_Value]]</f>
        <v>5700</v>
      </c>
      <c r="R712" s="15" t="s">
        <v>59</v>
      </c>
      <c r="S712" s="15" t="s">
        <v>26</v>
      </c>
      <c r="T712" s="15" t="s">
        <v>22</v>
      </c>
    </row>
    <row r="713" spans="1:20" s="12" customFormat="1" ht="30" customHeight="1" thickTop="1" thickBot="1" x14ac:dyDescent="0.4">
      <c r="A713" s="7">
        <v>1712</v>
      </c>
      <c r="B713" s="8">
        <v>46004</v>
      </c>
      <c r="C713" s="14" t="s">
        <v>39</v>
      </c>
      <c r="D713" s="14" t="s">
        <v>29</v>
      </c>
      <c r="E713" s="14" t="s">
        <v>31</v>
      </c>
      <c r="F713" s="14" t="s">
        <v>32</v>
      </c>
      <c r="G713" s="7">
        <v>8</v>
      </c>
      <c r="H713" s="7">
        <v>15000</v>
      </c>
      <c r="I713" s="9">
        <v>15</v>
      </c>
      <c r="J713" s="10">
        <f>SALCE[[#This Row],[After_Discount]]*SALCE[[#This Row],[Tax_%]]/100</f>
        <v>142.80000000000001</v>
      </c>
      <c r="K713" s="11">
        <v>0.14000000000000001</v>
      </c>
      <c r="L713" s="10">
        <f>SALCE[[#This Row],[Quantity]]*SALCE[[#This Row],[Unit_Price]]</f>
        <v>120000</v>
      </c>
      <c r="M713" s="10">
        <f>SALCE[[#This Row],[Gross_Sales]]*SALCE[[#This Row],[Discount_%]]/100</f>
        <v>18000</v>
      </c>
      <c r="N713" s="10">
        <f>SALCE[[#This Row],[After_Discount]]+SALCE[[#This Row],[Tax_Value]]</f>
        <v>102142.8</v>
      </c>
      <c r="O713" s="10">
        <f>SALCE[[#This Row],[Gross_Sales]]*70%</f>
        <v>84000</v>
      </c>
      <c r="P713" s="10">
        <f>SALCE[[#This Row],[Net_Sales]]-SALCE[[#This Row],[Cost_Price]]</f>
        <v>18142.800000000003</v>
      </c>
      <c r="Q713" s="10">
        <f>SALCE[[#This Row],[Gross_Sales]]-SALCE[[#This Row],[Discount_Value]]</f>
        <v>102000</v>
      </c>
      <c r="R713" s="15" t="s">
        <v>59</v>
      </c>
      <c r="S713" s="15" t="s">
        <v>21</v>
      </c>
      <c r="T713" s="15" t="s">
        <v>27</v>
      </c>
    </row>
    <row r="714" spans="1:20" s="12" customFormat="1" ht="30" customHeight="1" thickTop="1" thickBot="1" x14ac:dyDescent="0.4">
      <c r="A714" s="7">
        <v>1713</v>
      </c>
      <c r="B714" s="8">
        <v>46005</v>
      </c>
      <c r="C714" s="14" t="s">
        <v>17</v>
      </c>
      <c r="D714" s="14" t="s">
        <v>38</v>
      </c>
      <c r="E714" s="14" t="s">
        <v>25</v>
      </c>
      <c r="F714" s="14" t="s">
        <v>20</v>
      </c>
      <c r="G714" s="7">
        <v>8</v>
      </c>
      <c r="H714" s="7">
        <v>500</v>
      </c>
      <c r="I714" s="9">
        <v>10</v>
      </c>
      <c r="J714" s="10">
        <f>SALCE[[#This Row],[After_Discount]]*SALCE[[#This Row],[Tax_%]]/100</f>
        <v>5.0400000000000009</v>
      </c>
      <c r="K714" s="11">
        <v>0.14000000000000001</v>
      </c>
      <c r="L714" s="10">
        <f>SALCE[[#This Row],[Quantity]]*SALCE[[#This Row],[Unit_Price]]</f>
        <v>4000</v>
      </c>
      <c r="M714" s="10">
        <f>SALCE[[#This Row],[Gross_Sales]]*SALCE[[#This Row],[Discount_%]]/100</f>
        <v>400</v>
      </c>
      <c r="N714" s="10">
        <f>SALCE[[#This Row],[After_Discount]]+SALCE[[#This Row],[Tax_Value]]</f>
        <v>3605.04</v>
      </c>
      <c r="O714" s="10">
        <f>SALCE[[#This Row],[Gross_Sales]]*70%</f>
        <v>2800</v>
      </c>
      <c r="P714" s="10">
        <f>SALCE[[#This Row],[Net_Sales]]-SALCE[[#This Row],[Cost_Price]]</f>
        <v>805.04</v>
      </c>
      <c r="Q714" s="10">
        <f>SALCE[[#This Row],[Gross_Sales]]-SALCE[[#This Row],[Discount_Value]]</f>
        <v>3600</v>
      </c>
      <c r="R714" s="15" t="s">
        <v>50</v>
      </c>
      <c r="S714" s="15" t="s">
        <v>21</v>
      </c>
      <c r="T714" s="15" t="s">
        <v>22</v>
      </c>
    </row>
    <row r="715" spans="1:20" s="12" customFormat="1" ht="30" customHeight="1" thickTop="1" thickBot="1" x14ac:dyDescent="0.4">
      <c r="A715" s="7">
        <v>1714</v>
      </c>
      <c r="B715" s="8">
        <v>46006</v>
      </c>
      <c r="C715" s="14" t="s">
        <v>39</v>
      </c>
      <c r="D715" s="14" t="s">
        <v>29</v>
      </c>
      <c r="E715" s="14" t="s">
        <v>31</v>
      </c>
      <c r="F715" s="14" t="s">
        <v>32</v>
      </c>
      <c r="G715" s="7">
        <v>2</v>
      </c>
      <c r="H715" s="7">
        <v>15000</v>
      </c>
      <c r="I715" s="9">
        <v>15</v>
      </c>
      <c r="J715" s="10">
        <f>SALCE[[#This Row],[After_Discount]]*SALCE[[#This Row],[Tax_%]]/100</f>
        <v>35.700000000000003</v>
      </c>
      <c r="K715" s="11">
        <v>0.14000000000000001</v>
      </c>
      <c r="L715" s="10">
        <f>SALCE[[#This Row],[Quantity]]*SALCE[[#This Row],[Unit_Price]]</f>
        <v>30000</v>
      </c>
      <c r="M715" s="10">
        <f>SALCE[[#This Row],[Gross_Sales]]*SALCE[[#This Row],[Discount_%]]/100</f>
        <v>4500</v>
      </c>
      <c r="N715" s="10">
        <f>SALCE[[#This Row],[After_Discount]]+SALCE[[#This Row],[Tax_Value]]</f>
        <v>25535.7</v>
      </c>
      <c r="O715" s="10">
        <f>SALCE[[#This Row],[Gross_Sales]]*70%</f>
        <v>21000</v>
      </c>
      <c r="P715" s="10">
        <f>SALCE[[#This Row],[Net_Sales]]-SALCE[[#This Row],[Cost_Price]]</f>
        <v>4535.7000000000007</v>
      </c>
      <c r="Q715" s="10">
        <f>SALCE[[#This Row],[Gross_Sales]]-SALCE[[#This Row],[Discount_Value]]</f>
        <v>25500</v>
      </c>
      <c r="R715" s="15" t="s">
        <v>53</v>
      </c>
      <c r="S715" s="15" t="s">
        <v>37</v>
      </c>
      <c r="T715" s="15" t="s">
        <v>27</v>
      </c>
    </row>
    <row r="716" spans="1:20" s="12" customFormat="1" ht="30" customHeight="1" thickTop="1" thickBot="1" x14ac:dyDescent="0.4">
      <c r="A716" s="7">
        <v>1715</v>
      </c>
      <c r="B716" s="8">
        <v>46007</v>
      </c>
      <c r="C716" s="14" t="s">
        <v>39</v>
      </c>
      <c r="D716" s="14" t="s">
        <v>18</v>
      </c>
      <c r="E716" s="14" t="s">
        <v>31</v>
      </c>
      <c r="F716" s="14" t="s">
        <v>32</v>
      </c>
      <c r="G716" s="7">
        <v>1</v>
      </c>
      <c r="H716" s="7">
        <v>15000</v>
      </c>
      <c r="I716" s="9">
        <v>5</v>
      </c>
      <c r="J716" s="10">
        <f>SALCE[[#This Row],[After_Discount]]*SALCE[[#This Row],[Tax_%]]/100</f>
        <v>19.950000000000003</v>
      </c>
      <c r="K716" s="11">
        <v>0.14000000000000001</v>
      </c>
      <c r="L716" s="10">
        <f>SALCE[[#This Row],[Quantity]]*SALCE[[#This Row],[Unit_Price]]</f>
        <v>15000</v>
      </c>
      <c r="M716" s="10">
        <f>SALCE[[#This Row],[Gross_Sales]]*SALCE[[#This Row],[Discount_%]]/100</f>
        <v>750</v>
      </c>
      <c r="N716" s="10">
        <f>SALCE[[#This Row],[After_Discount]]+SALCE[[#This Row],[Tax_Value]]</f>
        <v>14269.95</v>
      </c>
      <c r="O716" s="10">
        <f>SALCE[[#This Row],[Gross_Sales]]*70%</f>
        <v>10500</v>
      </c>
      <c r="P716" s="10">
        <f>SALCE[[#This Row],[Net_Sales]]-SALCE[[#This Row],[Cost_Price]]</f>
        <v>3769.9500000000007</v>
      </c>
      <c r="Q716" s="10">
        <f>SALCE[[#This Row],[Gross_Sales]]-SALCE[[#This Row],[Discount_Value]]</f>
        <v>14250</v>
      </c>
      <c r="R716" s="15" t="s">
        <v>58</v>
      </c>
      <c r="S716" s="15" t="s">
        <v>21</v>
      </c>
      <c r="T716" s="15" t="s">
        <v>22</v>
      </c>
    </row>
    <row r="717" spans="1:20" s="12" customFormat="1" ht="30" customHeight="1" thickTop="1" thickBot="1" x14ac:dyDescent="0.4">
      <c r="A717" s="7">
        <v>1716</v>
      </c>
      <c r="B717" s="8">
        <v>46008</v>
      </c>
      <c r="C717" s="14" t="s">
        <v>39</v>
      </c>
      <c r="D717" s="14" t="s">
        <v>38</v>
      </c>
      <c r="E717" s="14" t="s">
        <v>40</v>
      </c>
      <c r="F717" s="14" t="s">
        <v>20</v>
      </c>
      <c r="G717" s="7">
        <v>9</v>
      </c>
      <c r="H717" s="7">
        <v>800</v>
      </c>
      <c r="I717" s="9">
        <v>5</v>
      </c>
      <c r="J717" s="10">
        <f>SALCE[[#This Row],[After_Discount]]*SALCE[[#This Row],[Tax_%]]/100</f>
        <v>9.5760000000000005</v>
      </c>
      <c r="K717" s="11">
        <v>0.14000000000000001</v>
      </c>
      <c r="L717" s="10">
        <f>SALCE[[#This Row],[Quantity]]*SALCE[[#This Row],[Unit_Price]]</f>
        <v>7200</v>
      </c>
      <c r="M717" s="10">
        <f>SALCE[[#This Row],[Gross_Sales]]*SALCE[[#This Row],[Discount_%]]/100</f>
        <v>360</v>
      </c>
      <c r="N717" s="10">
        <f>SALCE[[#This Row],[After_Discount]]+SALCE[[#This Row],[Tax_Value]]</f>
        <v>6849.576</v>
      </c>
      <c r="O717" s="10">
        <f>SALCE[[#This Row],[Gross_Sales]]*70%</f>
        <v>5040</v>
      </c>
      <c r="P717" s="10">
        <f>SALCE[[#This Row],[Net_Sales]]-SALCE[[#This Row],[Cost_Price]]</f>
        <v>1809.576</v>
      </c>
      <c r="Q717" s="10">
        <f>SALCE[[#This Row],[Gross_Sales]]-SALCE[[#This Row],[Discount_Value]]</f>
        <v>6840</v>
      </c>
      <c r="R717" s="15" t="s">
        <v>58</v>
      </c>
      <c r="S717" s="15" t="s">
        <v>26</v>
      </c>
      <c r="T717" s="15" t="s">
        <v>27</v>
      </c>
    </row>
    <row r="718" spans="1:20" s="12" customFormat="1" ht="30" customHeight="1" thickTop="1" thickBot="1" x14ac:dyDescent="0.4">
      <c r="A718" s="7">
        <v>1717</v>
      </c>
      <c r="B718" s="8">
        <v>46009</v>
      </c>
      <c r="C718" s="14" t="s">
        <v>28</v>
      </c>
      <c r="D718" s="14" t="s">
        <v>29</v>
      </c>
      <c r="E718" s="14" t="s">
        <v>31</v>
      </c>
      <c r="F718" s="14" t="s">
        <v>32</v>
      </c>
      <c r="G718" s="7">
        <v>2</v>
      </c>
      <c r="H718" s="7">
        <v>15000</v>
      </c>
      <c r="I718" s="9">
        <v>10</v>
      </c>
      <c r="J718" s="10">
        <f>SALCE[[#This Row],[After_Discount]]*SALCE[[#This Row],[Tax_%]]/100</f>
        <v>37.800000000000004</v>
      </c>
      <c r="K718" s="11">
        <v>0.14000000000000001</v>
      </c>
      <c r="L718" s="10">
        <f>SALCE[[#This Row],[Quantity]]*SALCE[[#This Row],[Unit_Price]]</f>
        <v>30000</v>
      </c>
      <c r="M718" s="10">
        <f>SALCE[[#This Row],[Gross_Sales]]*SALCE[[#This Row],[Discount_%]]/100</f>
        <v>3000</v>
      </c>
      <c r="N718" s="10">
        <f>SALCE[[#This Row],[After_Discount]]+SALCE[[#This Row],[Tax_Value]]</f>
        <v>27037.8</v>
      </c>
      <c r="O718" s="10">
        <f>SALCE[[#This Row],[Gross_Sales]]*70%</f>
        <v>21000</v>
      </c>
      <c r="P718" s="10">
        <f>SALCE[[#This Row],[Net_Sales]]-SALCE[[#This Row],[Cost_Price]]</f>
        <v>6037.7999999999993</v>
      </c>
      <c r="Q718" s="10">
        <f>SALCE[[#This Row],[Gross_Sales]]-SALCE[[#This Row],[Discount_Value]]</f>
        <v>27000</v>
      </c>
      <c r="R718" s="15" t="s">
        <v>57</v>
      </c>
      <c r="S718" s="15" t="s">
        <v>26</v>
      </c>
      <c r="T718" s="15" t="s">
        <v>22</v>
      </c>
    </row>
    <row r="719" spans="1:20" s="12" customFormat="1" ht="30" customHeight="1" thickTop="1" thickBot="1" x14ac:dyDescent="0.4">
      <c r="A719" s="7">
        <v>1718</v>
      </c>
      <c r="B719" s="8">
        <v>46010</v>
      </c>
      <c r="C719" s="14" t="s">
        <v>17</v>
      </c>
      <c r="D719" s="14" t="s">
        <v>18</v>
      </c>
      <c r="E719" s="14" t="s">
        <v>31</v>
      </c>
      <c r="F719" s="14" t="s">
        <v>32</v>
      </c>
      <c r="G719" s="7">
        <v>7</v>
      </c>
      <c r="H719" s="7">
        <v>15000</v>
      </c>
      <c r="I719" s="9">
        <v>15</v>
      </c>
      <c r="J719" s="10">
        <f>SALCE[[#This Row],[After_Discount]]*SALCE[[#This Row],[Tax_%]]/100</f>
        <v>124.95000000000002</v>
      </c>
      <c r="K719" s="11">
        <v>0.14000000000000001</v>
      </c>
      <c r="L719" s="10">
        <f>SALCE[[#This Row],[Quantity]]*SALCE[[#This Row],[Unit_Price]]</f>
        <v>105000</v>
      </c>
      <c r="M719" s="10">
        <f>SALCE[[#This Row],[Gross_Sales]]*SALCE[[#This Row],[Discount_%]]/100</f>
        <v>15750</v>
      </c>
      <c r="N719" s="10">
        <f>SALCE[[#This Row],[After_Discount]]+SALCE[[#This Row],[Tax_Value]]</f>
        <v>89374.95</v>
      </c>
      <c r="O719" s="10">
        <f>SALCE[[#This Row],[Gross_Sales]]*70%</f>
        <v>73500</v>
      </c>
      <c r="P719" s="10">
        <f>SALCE[[#This Row],[Net_Sales]]-SALCE[[#This Row],[Cost_Price]]</f>
        <v>15874.949999999997</v>
      </c>
      <c r="Q719" s="10">
        <f>SALCE[[#This Row],[Gross_Sales]]-SALCE[[#This Row],[Discount_Value]]</f>
        <v>89250</v>
      </c>
      <c r="R719" s="15" t="s">
        <v>58</v>
      </c>
      <c r="S719" s="15" t="s">
        <v>21</v>
      </c>
      <c r="T719" s="15" t="s">
        <v>27</v>
      </c>
    </row>
    <row r="720" spans="1:20" s="12" customFormat="1" ht="30" customHeight="1" thickTop="1" thickBot="1" x14ac:dyDescent="0.4">
      <c r="A720" s="7">
        <v>1719</v>
      </c>
      <c r="B720" s="8">
        <v>46011</v>
      </c>
      <c r="C720" s="14" t="s">
        <v>17</v>
      </c>
      <c r="D720" s="14" t="s">
        <v>38</v>
      </c>
      <c r="E720" s="14" t="s">
        <v>40</v>
      </c>
      <c r="F720" s="14" t="s">
        <v>20</v>
      </c>
      <c r="G720" s="7">
        <v>4</v>
      </c>
      <c r="H720" s="7">
        <v>800</v>
      </c>
      <c r="I720" s="9">
        <v>5</v>
      </c>
      <c r="J720" s="10">
        <f>SALCE[[#This Row],[After_Discount]]*SALCE[[#This Row],[Tax_%]]/100</f>
        <v>4.2560000000000002</v>
      </c>
      <c r="K720" s="11">
        <v>0.14000000000000001</v>
      </c>
      <c r="L720" s="10">
        <f>SALCE[[#This Row],[Quantity]]*SALCE[[#This Row],[Unit_Price]]</f>
        <v>3200</v>
      </c>
      <c r="M720" s="10">
        <f>SALCE[[#This Row],[Gross_Sales]]*SALCE[[#This Row],[Discount_%]]/100</f>
        <v>160</v>
      </c>
      <c r="N720" s="10">
        <f>SALCE[[#This Row],[After_Discount]]+SALCE[[#This Row],[Tax_Value]]</f>
        <v>3044.2559999999999</v>
      </c>
      <c r="O720" s="10">
        <f>SALCE[[#This Row],[Gross_Sales]]*70%</f>
        <v>2240</v>
      </c>
      <c r="P720" s="10">
        <f>SALCE[[#This Row],[Net_Sales]]-SALCE[[#This Row],[Cost_Price]]</f>
        <v>804.25599999999986</v>
      </c>
      <c r="Q720" s="10">
        <f>SALCE[[#This Row],[Gross_Sales]]-SALCE[[#This Row],[Discount_Value]]</f>
        <v>3040</v>
      </c>
      <c r="R720" s="15" t="s">
        <v>57</v>
      </c>
      <c r="S720" s="15" t="s">
        <v>21</v>
      </c>
      <c r="T720" s="15" t="s">
        <v>27</v>
      </c>
    </row>
    <row r="721" spans="1:20" s="12" customFormat="1" ht="30" customHeight="1" thickTop="1" thickBot="1" x14ac:dyDescent="0.4">
      <c r="A721" s="7">
        <v>1720</v>
      </c>
      <c r="B721" s="8">
        <v>46012</v>
      </c>
      <c r="C721" s="14" t="s">
        <v>28</v>
      </c>
      <c r="D721" s="14" t="s">
        <v>24</v>
      </c>
      <c r="E721" s="14" t="s">
        <v>31</v>
      </c>
      <c r="F721" s="14" t="s">
        <v>32</v>
      </c>
      <c r="G721" s="7">
        <v>2</v>
      </c>
      <c r="H721" s="7">
        <v>15000</v>
      </c>
      <c r="I721" s="9">
        <v>15</v>
      </c>
      <c r="J721" s="10">
        <f>SALCE[[#This Row],[After_Discount]]*SALCE[[#This Row],[Tax_%]]/100</f>
        <v>35.700000000000003</v>
      </c>
      <c r="K721" s="11">
        <v>0.14000000000000001</v>
      </c>
      <c r="L721" s="10">
        <f>SALCE[[#This Row],[Quantity]]*SALCE[[#This Row],[Unit_Price]]</f>
        <v>30000</v>
      </c>
      <c r="M721" s="10">
        <f>SALCE[[#This Row],[Gross_Sales]]*SALCE[[#This Row],[Discount_%]]/100</f>
        <v>4500</v>
      </c>
      <c r="N721" s="10">
        <f>SALCE[[#This Row],[After_Discount]]+SALCE[[#This Row],[Tax_Value]]</f>
        <v>25535.7</v>
      </c>
      <c r="O721" s="10">
        <f>SALCE[[#This Row],[Gross_Sales]]*70%</f>
        <v>21000</v>
      </c>
      <c r="P721" s="10">
        <f>SALCE[[#This Row],[Net_Sales]]-SALCE[[#This Row],[Cost_Price]]</f>
        <v>4535.7000000000007</v>
      </c>
      <c r="Q721" s="10">
        <f>SALCE[[#This Row],[Gross_Sales]]-SALCE[[#This Row],[Discount_Value]]</f>
        <v>25500</v>
      </c>
      <c r="R721" s="15" t="s">
        <v>53</v>
      </c>
      <c r="S721" s="15" t="s">
        <v>26</v>
      </c>
      <c r="T721" s="15" t="s">
        <v>22</v>
      </c>
    </row>
    <row r="722" spans="1:20" s="12" customFormat="1" ht="30" customHeight="1" thickTop="1" thickBot="1" x14ac:dyDescent="0.4">
      <c r="A722" s="7">
        <v>1721</v>
      </c>
      <c r="B722" s="8">
        <v>46013</v>
      </c>
      <c r="C722" s="14" t="s">
        <v>30</v>
      </c>
      <c r="D722" s="14" t="s">
        <v>36</v>
      </c>
      <c r="E722" s="14" t="s">
        <v>25</v>
      </c>
      <c r="F722" s="14" t="s">
        <v>20</v>
      </c>
      <c r="G722" s="7">
        <v>4</v>
      </c>
      <c r="H722" s="7">
        <v>500</v>
      </c>
      <c r="I722" s="9">
        <v>15</v>
      </c>
      <c r="J722" s="10">
        <f>SALCE[[#This Row],[After_Discount]]*SALCE[[#This Row],[Tax_%]]/100</f>
        <v>2.3800000000000003</v>
      </c>
      <c r="K722" s="11">
        <v>0.14000000000000001</v>
      </c>
      <c r="L722" s="10">
        <f>SALCE[[#This Row],[Quantity]]*SALCE[[#This Row],[Unit_Price]]</f>
        <v>2000</v>
      </c>
      <c r="M722" s="10">
        <f>SALCE[[#This Row],[Gross_Sales]]*SALCE[[#This Row],[Discount_%]]/100</f>
        <v>300</v>
      </c>
      <c r="N722" s="10">
        <f>SALCE[[#This Row],[After_Discount]]+SALCE[[#This Row],[Tax_Value]]</f>
        <v>1702.38</v>
      </c>
      <c r="O722" s="10">
        <f>SALCE[[#This Row],[Gross_Sales]]*70%</f>
        <v>1400</v>
      </c>
      <c r="P722" s="10">
        <f>SALCE[[#This Row],[Net_Sales]]-SALCE[[#This Row],[Cost_Price]]</f>
        <v>302.38000000000011</v>
      </c>
      <c r="Q722" s="10">
        <f>SALCE[[#This Row],[Gross_Sales]]-SALCE[[#This Row],[Discount_Value]]</f>
        <v>1700</v>
      </c>
      <c r="R722" s="15" t="s">
        <v>58</v>
      </c>
      <c r="S722" s="15" t="s">
        <v>26</v>
      </c>
      <c r="T722" s="15" t="s">
        <v>27</v>
      </c>
    </row>
    <row r="723" spans="1:20" s="12" customFormat="1" ht="30" customHeight="1" thickTop="1" thickBot="1" x14ac:dyDescent="0.4">
      <c r="A723" s="7">
        <v>1722</v>
      </c>
      <c r="B723" s="8">
        <v>46014</v>
      </c>
      <c r="C723" s="14" t="s">
        <v>35</v>
      </c>
      <c r="D723" s="14" t="s">
        <v>18</v>
      </c>
      <c r="E723" s="14" t="s">
        <v>25</v>
      </c>
      <c r="F723" s="14" t="s">
        <v>20</v>
      </c>
      <c r="G723" s="7">
        <v>6</v>
      </c>
      <c r="H723" s="7">
        <v>500</v>
      </c>
      <c r="I723" s="9">
        <v>5</v>
      </c>
      <c r="J723" s="10">
        <f>SALCE[[#This Row],[After_Discount]]*SALCE[[#This Row],[Tax_%]]/100</f>
        <v>3.9900000000000007</v>
      </c>
      <c r="K723" s="11">
        <v>0.14000000000000001</v>
      </c>
      <c r="L723" s="10">
        <f>SALCE[[#This Row],[Quantity]]*SALCE[[#This Row],[Unit_Price]]</f>
        <v>3000</v>
      </c>
      <c r="M723" s="10">
        <f>SALCE[[#This Row],[Gross_Sales]]*SALCE[[#This Row],[Discount_%]]/100</f>
        <v>150</v>
      </c>
      <c r="N723" s="10">
        <f>SALCE[[#This Row],[After_Discount]]+SALCE[[#This Row],[Tax_Value]]</f>
        <v>2853.99</v>
      </c>
      <c r="O723" s="10">
        <f>SALCE[[#This Row],[Gross_Sales]]*70%</f>
        <v>2100</v>
      </c>
      <c r="P723" s="10">
        <f>SALCE[[#This Row],[Net_Sales]]-SALCE[[#This Row],[Cost_Price]]</f>
        <v>753.98999999999978</v>
      </c>
      <c r="Q723" s="10">
        <f>SALCE[[#This Row],[Gross_Sales]]-SALCE[[#This Row],[Discount_Value]]</f>
        <v>2850</v>
      </c>
      <c r="R723" s="15" t="s">
        <v>61</v>
      </c>
      <c r="S723" s="15" t="s">
        <v>26</v>
      </c>
      <c r="T723" s="15" t="s">
        <v>27</v>
      </c>
    </row>
    <row r="724" spans="1:20" s="12" customFormat="1" ht="30" customHeight="1" thickTop="1" thickBot="1" x14ac:dyDescent="0.4">
      <c r="A724" s="7">
        <v>1723</v>
      </c>
      <c r="B724" s="8">
        <v>46015</v>
      </c>
      <c r="C724" s="14" t="s">
        <v>35</v>
      </c>
      <c r="D724" s="14" t="s">
        <v>36</v>
      </c>
      <c r="E724" s="14" t="s">
        <v>40</v>
      </c>
      <c r="F724" s="14" t="s">
        <v>20</v>
      </c>
      <c r="G724" s="7">
        <v>6</v>
      </c>
      <c r="H724" s="7">
        <v>800</v>
      </c>
      <c r="I724" s="9">
        <v>0</v>
      </c>
      <c r="J724" s="10">
        <f>SALCE[[#This Row],[After_Discount]]*SALCE[[#This Row],[Tax_%]]/100</f>
        <v>6.7200000000000015</v>
      </c>
      <c r="K724" s="11">
        <v>0.14000000000000001</v>
      </c>
      <c r="L724" s="10">
        <f>SALCE[[#This Row],[Quantity]]*SALCE[[#This Row],[Unit_Price]]</f>
        <v>4800</v>
      </c>
      <c r="M724" s="10">
        <f>SALCE[[#This Row],[Gross_Sales]]*SALCE[[#This Row],[Discount_%]]/100</f>
        <v>0</v>
      </c>
      <c r="N724" s="10">
        <f>SALCE[[#This Row],[After_Discount]]+SALCE[[#This Row],[Tax_Value]]</f>
        <v>4806.72</v>
      </c>
      <c r="O724" s="10">
        <f>SALCE[[#This Row],[Gross_Sales]]*70%</f>
        <v>3360</v>
      </c>
      <c r="P724" s="10">
        <f>SALCE[[#This Row],[Net_Sales]]-SALCE[[#This Row],[Cost_Price]]</f>
        <v>1446.7200000000003</v>
      </c>
      <c r="Q724" s="10">
        <f>SALCE[[#This Row],[Gross_Sales]]-SALCE[[#This Row],[Discount_Value]]</f>
        <v>4800</v>
      </c>
      <c r="R724" s="15" t="s">
        <v>61</v>
      </c>
      <c r="S724" s="15" t="s">
        <v>37</v>
      </c>
      <c r="T724" s="15" t="s">
        <v>22</v>
      </c>
    </row>
    <row r="725" spans="1:20" s="12" customFormat="1" ht="30" customHeight="1" thickTop="1" thickBot="1" x14ac:dyDescent="0.4">
      <c r="A725" s="7">
        <v>1724</v>
      </c>
      <c r="B725" s="8">
        <v>46016</v>
      </c>
      <c r="C725" s="14" t="s">
        <v>35</v>
      </c>
      <c r="D725" s="14" t="s">
        <v>36</v>
      </c>
      <c r="E725" s="14" t="s">
        <v>31</v>
      </c>
      <c r="F725" s="14" t="s">
        <v>32</v>
      </c>
      <c r="G725" s="7">
        <v>9</v>
      </c>
      <c r="H725" s="7">
        <v>15000</v>
      </c>
      <c r="I725" s="9">
        <v>5</v>
      </c>
      <c r="J725" s="10">
        <f>SALCE[[#This Row],[After_Discount]]*SALCE[[#This Row],[Tax_%]]/100</f>
        <v>179.55</v>
      </c>
      <c r="K725" s="11">
        <v>0.14000000000000001</v>
      </c>
      <c r="L725" s="10">
        <f>SALCE[[#This Row],[Quantity]]*SALCE[[#This Row],[Unit_Price]]</f>
        <v>135000</v>
      </c>
      <c r="M725" s="10">
        <f>SALCE[[#This Row],[Gross_Sales]]*SALCE[[#This Row],[Discount_%]]/100</f>
        <v>6750</v>
      </c>
      <c r="N725" s="10">
        <f>SALCE[[#This Row],[After_Discount]]+SALCE[[#This Row],[Tax_Value]]</f>
        <v>128429.55</v>
      </c>
      <c r="O725" s="10">
        <f>SALCE[[#This Row],[Gross_Sales]]*70%</f>
        <v>94500</v>
      </c>
      <c r="P725" s="10">
        <f>SALCE[[#This Row],[Net_Sales]]-SALCE[[#This Row],[Cost_Price]]</f>
        <v>33929.550000000003</v>
      </c>
      <c r="Q725" s="10">
        <f>SALCE[[#This Row],[Gross_Sales]]-SALCE[[#This Row],[Discount_Value]]</f>
        <v>128250</v>
      </c>
      <c r="R725" s="15" t="s">
        <v>47</v>
      </c>
      <c r="S725" s="15" t="s">
        <v>26</v>
      </c>
      <c r="T725" s="15" t="s">
        <v>22</v>
      </c>
    </row>
    <row r="726" spans="1:20" s="12" customFormat="1" ht="30" customHeight="1" thickTop="1" thickBot="1" x14ac:dyDescent="0.4">
      <c r="A726" s="7">
        <v>1725</v>
      </c>
      <c r="B726" s="8">
        <v>46017</v>
      </c>
      <c r="C726" s="14" t="s">
        <v>28</v>
      </c>
      <c r="D726" s="14" t="s">
        <v>24</v>
      </c>
      <c r="E726" s="14" t="s">
        <v>25</v>
      </c>
      <c r="F726" s="14" t="s">
        <v>20</v>
      </c>
      <c r="G726" s="7">
        <v>5</v>
      </c>
      <c r="H726" s="7">
        <v>500</v>
      </c>
      <c r="I726" s="9">
        <v>0</v>
      </c>
      <c r="J726" s="10">
        <f>SALCE[[#This Row],[After_Discount]]*SALCE[[#This Row],[Tax_%]]/100</f>
        <v>3.5000000000000004</v>
      </c>
      <c r="K726" s="11">
        <v>0.14000000000000001</v>
      </c>
      <c r="L726" s="10">
        <f>SALCE[[#This Row],[Quantity]]*SALCE[[#This Row],[Unit_Price]]</f>
        <v>2500</v>
      </c>
      <c r="M726" s="10">
        <f>SALCE[[#This Row],[Gross_Sales]]*SALCE[[#This Row],[Discount_%]]/100</f>
        <v>0</v>
      </c>
      <c r="N726" s="10">
        <f>SALCE[[#This Row],[After_Discount]]+SALCE[[#This Row],[Tax_Value]]</f>
        <v>2503.5</v>
      </c>
      <c r="O726" s="10">
        <f>SALCE[[#This Row],[Gross_Sales]]*70%</f>
        <v>1750</v>
      </c>
      <c r="P726" s="10">
        <f>SALCE[[#This Row],[Net_Sales]]-SALCE[[#This Row],[Cost_Price]]</f>
        <v>753.5</v>
      </c>
      <c r="Q726" s="10">
        <f>SALCE[[#This Row],[Gross_Sales]]-SALCE[[#This Row],[Discount_Value]]</f>
        <v>2500</v>
      </c>
      <c r="R726" s="15" t="s">
        <v>47</v>
      </c>
      <c r="S726" s="15" t="s">
        <v>37</v>
      </c>
      <c r="T726" s="15" t="s">
        <v>27</v>
      </c>
    </row>
    <row r="727" spans="1:20" s="12" customFormat="1" ht="30" customHeight="1" thickTop="1" thickBot="1" x14ac:dyDescent="0.4">
      <c r="A727" s="7">
        <v>1726</v>
      </c>
      <c r="B727" s="8">
        <v>46018</v>
      </c>
      <c r="C727" s="14" t="s">
        <v>17</v>
      </c>
      <c r="D727" s="14" t="s">
        <v>38</v>
      </c>
      <c r="E727" s="14" t="s">
        <v>25</v>
      </c>
      <c r="F727" s="14" t="s">
        <v>20</v>
      </c>
      <c r="G727" s="7">
        <v>1</v>
      </c>
      <c r="H727" s="7">
        <v>500</v>
      </c>
      <c r="I727" s="9">
        <v>10</v>
      </c>
      <c r="J727" s="10">
        <f>SALCE[[#This Row],[After_Discount]]*SALCE[[#This Row],[Tax_%]]/100</f>
        <v>0.63000000000000012</v>
      </c>
      <c r="K727" s="11">
        <v>0.14000000000000001</v>
      </c>
      <c r="L727" s="10">
        <f>SALCE[[#This Row],[Quantity]]*SALCE[[#This Row],[Unit_Price]]</f>
        <v>500</v>
      </c>
      <c r="M727" s="10">
        <f>SALCE[[#This Row],[Gross_Sales]]*SALCE[[#This Row],[Discount_%]]/100</f>
        <v>50</v>
      </c>
      <c r="N727" s="10">
        <f>SALCE[[#This Row],[After_Discount]]+SALCE[[#This Row],[Tax_Value]]</f>
        <v>450.63</v>
      </c>
      <c r="O727" s="10">
        <f>SALCE[[#This Row],[Gross_Sales]]*70%</f>
        <v>350</v>
      </c>
      <c r="P727" s="10">
        <f>SALCE[[#This Row],[Net_Sales]]-SALCE[[#This Row],[Cost_Price]]</f>
        <v>100.63</v>
      </c>
      <c r="Q727" s="10">
        <f>SALCE[[#This Row],[Gross_Sales]]-SALCE[[#This Row],[Discount_Value]]</f>
        <v>450</v>
      </c>
      <c r="R727" s="15" t="s">
        <v>49</v>
      </c>
      <c r="S727" s="15" t="s">
        <v>26</v>
      </c>
      <c r="T727" s="15" t="s">
        <v>27</v>
      </c>
    </row>
    <row r="728" spans="1:20" s="12" customFormat="1" ht="30" customHeight="1" thickTop="1" thickBot="1" x14ac:dyDescent="0.4">
      <c r="A728" s="7">
        <v>1727</v>
      </c>
      <c r="B728" s="8">
        <v>46019</v>
      </c>
      <c r="C728" s="14" t="s">
        <v>28</v>
      </c>
      <c r="D728" s="14" t="s">
        <v>41</v>
      </c>
      <c r="E728" s="14" t="s">
        <v>31</v>
      </c>
      <c r="F728" s="14" t="s">
        <v>32</v>
      </c>
      <c r="G728" s="7">
        <v>1</v>
      </c>
      <c r="H728" s="7">
        <v>15000</v>
      </c>
      <c r="I728" s="9">
        <v>15</v>
      </c>
      <c r="J728" s="10">
        <f>SALCE[[#This Row],[After_Discount]]*SALCE[[#This Row],[Tax_%]]/100</f>
        <v>17.850000000000001</v>
      </c>
      <c r="K728" s="11">
        <v>0.14000000000000001</v>
      </c>
      <c r="L728" s="10">
        <f>SALCE[[#This Row],[Quantity]]*SALCE[[#This Row],[Unit_Price]]</f>
        <v>15000</v>
      </c>
      <c r="M728" s="10">
        <f>SALCE[[#This Row],[Gross_Sales]]*SALCE[[#This Row],[Discount_%]]/100</f>
        <v>2250</v>
      </c>
      <c r="N728" s="10">
        <f>SALCE[[#This Row],[After_Discount]]+SALCE[[#This Row],[Tax_Value]]</f>
        <v>12767.85</v>
      </c>
      <c r="O728" s="10">
        <f>SALCE[[#This Row],[Gross_Sales]]*70%</f>
        <v>10500</v>
      </c>
      <c r="P728" s="10">
        <f>SALCE[[#This Row],[Net_Sales]]-SALCE[[#This Row],[Cost_Price]]</f>
        <v>2267.8500000000004</v>
      </c>
      <c r="Q728" s="10">
        <f>SALCE[[#This Row],[Gross_Sales]]-SALCE[[#This Row],[Discount_Value]]</f>
        <v>12750</v>
      </c>
      <c r="R728" s="15" t="s">
        <v>61</v>
      </c>
      <c r="S728" s="15" t="s">
        <v>21</v>
      </c>
      <c r="T728" s="15" t="s">
        <v>27</v>
      </c>
    </row>
    <row r="729" spans="1:20" s="12" customFormat="1" ht="30" customHeight="1" thickTop="1" thickBot="1" x14ac:dyDescent="0.4">
      <c r="A729" s="7">
        <v>1728</v>
      </c>
      <c r="B729" s="8">
        <v>46020</v>
      </c>
      <c r="C729" s="14" t="s">
        <v>39</v>
      </c>
      <c r="D729" s="14" t="s">
        <v>29</v>
      </c>
      <c r="E729" s="14" t="s">
        <v>40</v>
      </c>
      <c r="F729" s="14" t="s">
        <v>20</v>
      </c>
      <c r="G729" s="7">
        <v>3</v>
      </c>
      <c r="H729" s="7">
        <v>800</v>
      </c>
      <c r="I729" s="9">
        <v>5</v>
      </c>
      <c r="J729" s="10">
        <f>SALCE[[#This Row],[After_Discount]]*SALCE[[#This Row],[Tax_%]]/100</f>
        <v>3.1920000000000006</v>
      </c>
      <c r="K729" s="11">
        <v>0.14000000000000001</v>
      </c>
      <c r="L729" s="10">
        <f>SALCE[[#This Row],[Quantity]]*SALCE[[#This Row],[Unit_Price]]</f>
        <v>2400</v>
      </c>
      <c r="M729" s="10">
        <f>SALCE[[#This Row],[Gross_Sales]]*SALCE[[#This Row],[Discount_%]]/100</f>
        <v>120</v>
      </c>
      <c r="N729" s="10">
        <f>SALCE[[#This Row],[After_Discount]]+SALCE[[#This Row],[Tax_Value]]</f>
        <v>2283.192</v>
      </c>
      <c r="O729" s="10">
        <f>SALCE[[#This Row],[Gross_Sales]]*70%</f>
        <v>1680</v>
      </c>
      <c r="P729" s="10">
        <f>SALCE[[#This Row],[Net_Sales]]-SALCE[[#This Row],[Cost_Price]]</f>
        <v>603.19200000000001</v>
      </c>
      <c r="Q729" s="10">
        <f>SALCE[[#This Row],[Gross_Sales]]-SALCE[[#This Row],[Discount_Value]]</f>
        <v>2280</v>
      </c>
      <c r="R729" s="15" t="s">
        <v>61</v>
      </c>
      <c r="S729" s="15" t="s">
        <v>21</v>
      </c>
      <c r="T729" s="15" t="s">
        <v>22</v>
      </c>
    </row>
    <row r="730" spans="1:20" s="12" customFormat="1" ht="30" customHeight="1" thickTop="1" thickBot="1" x14ac:dyDescent="0.4">
      <c r="A730" s="7">
        <v>1729</v>
      </c>
      <c r="B730" s="8">
        <v>46021</v>
      </c>
      <c r="C730" s="14" t="s">
        <v>30</v>
      </c>
      <c r="D730" s="14" t="s">
        <v>29</v>
      </c>
      <c r="E730" s="14" t="s">
        <v>34</v>
      </c>
      <c r="F730" s="14" t="s">
        <v>32</v>
      </c>
      <c r="G730" s="7">
        <v>7</v>
      </c>
      <c r="H730" s="7">
        <v>4000</v>
      </c>
      <c r="I730" s="9">
        <v>10</v>
      </c>
      <c r="J730" s="10">
        <f>SALCE[[#This Row],[After_Discount]]*SALCE[[#This Row],[Tax_%]]/100</f>
        <v>35.28</v>
      </c>
      <c r="K730" s="11">
        <v>0.14000000000000001</v>
      </c>
      <c r="L730" s="10">
        <f>SALCE[[#This Row],[Quantity]]*SALCE[[#This Row],[Unit_Price]]</f>
        <v>28000</v>
      </c>
      <c r="M730" s="10">
        <f>SALCE[[#This Row],[Gross_Sales]]*SALCE[[#This Row],[Discount_%]]/100</f>
        <v>2800</v>
      </c>
      <c r="N730" s="10">
        <f>SALCE[[#This Row],[After_Discount]]+SALCE[[#This Row],[Tax_Value]]</f>
        <v>25235.279999999999</v>
      </c>
      <c r="O730" s="10">
        <f>SALCE[[#This Row],[Gross_Sales]]*70%</f>
        <v>19600</v>
      </c>
      <c r="P730" s="10">
        <f>SALCE[[#This Row],[Net_Sales]]-SALCE[[#This Row],[Cost_Price]]</f>
        <v>5635.2799999999988</v>
      </c>
      <c r="Q730" s="10">
        <f>SALCE[[#This Row],[Gross_Sales]]-SALCE[[#This Row],[Discount_Value]]</f>
        <v>25200</v>
      </c>
      <c r="R730" s="15" t="s">
        <v>56</v>
      </c>
      <c r="S730" s="15" t="s">
        <v>26</v>
      </c>
      <c r="T730" s="15" t="s">
        <v>22</v>
      </c>
    </row>
    <row r="731" spans="1:20" s="12" customFormat="1" ht="30" customHeight="1" thickTop="1" thickBot="1" x14ac:dyDescent="0.4">
      <c r="A731" s="7">
        <v>1730</v>
      </c>
      <c r="B731" s="8">
        <v>46022</v>
      </c>
      <c r="C731" s="14" t="s">
        <v>30</v>
      </c>
      <c r="D731" s="14" t="s">
        <v>38</v>
      </c>
      <c r="E731" s="14" t="s">
        <v>31</v>
      </c>
      <c r="F731" s="14" t="s">
        <v>32</v>
      </c>
      <c r="G731" s="7">
        <v>3</v>
      </c>
      <c r="H731" s="7">
        <v>15000</v>
      </c>
      <c r="I731" s="9">
        <v>5</v>
      </c>
      <c r="J731" s="10">
        <f>SALCE[[#This Row],[After_Discount]]*SALCE[[#This Row],[Tax_%]]/100</f>
        <v>59.850000000000009</v>
      </c>
      <c r="K731" s="11">
        <v>0.14000000000000001</v>
      </c>
      <c r="L731" s="10">
        <f>SALCE[[#This Row],[Quantity]]*SALCE[[#This Row],[Unit_Price]]</f>
        <v>45000</v>
      </c>
      <c r="M731" s="10">
        <f>SALCE[[#This Row],[Gross_Sales]]*SALCE[[#This Row],[Discount_%]]/100</f>
        <v>2250</v>
      </c>
      <c r="N731" s="10">
        <f>SALCE[[#This Row],[After_Discount]]+SALCE[[#This Row],[Tax_Value]]</f>
        <v>42809.85</v>
      </c>
      <c r="O731" s="10">
        <f>SALCE[[#This Row],[Gross_Sales]]*70%</f>
        <v>31499.999999999996</v>
      </c>
      <c r="P731" s="10">
        <f>SALCE[[#This Row],[Net_Sales]]-SALCE[[#This Row],[Cost_Price]]</f>
        <v>11309.850000000002</v>
      </c>
      <c r="Q731" s="10">
        <f>SALCE[[#This Row],[Gross_Sales]]-SALCE[[#This Row],[Discount_Value]]</f>
        <v>42750</v>
      </c>
      <c r="R731" s="15" t="s">
        <v>51</v>
      </c>
      <c r="S731" s="15" t="s">
        <v>37</v>
      </c>
      <c r="T731" s="15" t="s">
        <v>22</v>
      </c>
    </row>
    <row r="732" spans="1:20" s="12" customFormat="1" ht="30" customHeight="1" thickTop="1" thickBot="1" x14ac:dyDescent="0.4">
      <c r="A732" s="7">
        <v>1731</v>
      </c>
      <c r="B732" s="8">
        <v>45658</v>
      </c>
      <c r="C732" s="14" t="s">
        <v>23</v>
      </c>
      <c r="D732" s="14" t="s">
        <v>24</v>
      </c>
      <c r="E732" s="14" t="s">
        <v>19</v>
      </c>
      <c r="F732" s="14" t="s">
        <v>20</v>
      </c>
      <c r="G732" s="7">
        <v>3</v>
      </c>
      <c r="H732" s="7">
        <v>300</v>
      </c>
      <c r="I732" s="9">
        <v>10</v>
      </c>
      <c r="J732" s="10">
        <f>SALCE[[#This Row],[After_Discount]]*SALCE[[#This Row],[Tax_%]]/100</f>
        <v>1.1340000000000001</v>
      </c>
      <c r="K732" s="11">
        <v>0.14000000000000001</v>
      </c>
      <c r="L732" s="10">
        <f>SALCE[[#This Row],[Quantity]]*SALCE[[#This Row],[Unit_Price]]</f>
        <v>900</v>
      </c>
      <c r="M732" s="10">
        <f>SALCE[[#This Row],[Gross_Sales]]*SALCE[[#This Row],[Discount_%]]/100</f>
        <v>90</v>
      </c>
      <c r="N732" s="10">
        <f>SALCE[[#This Row],[After_Discount]]+SALCE[[#This Row],[Tax_Value]]</f>
        <v>811.13400000000001</v>
      </c>
      <c r="O732" s="10">
        <f>SALCE[[#This Row],[Gross_Sales]]*70%</f>
        <v>630</v>
      </c>
      <c r="P732" s="10">
        <f>SALCE[[#This Row],[Net_Sales]]-SALCE[[#This Row],[Cost_Price]]</f>
        <v>181.13400000000001</v>
      </c>
      <c r="Q732" s="10">
        <f>SALCE[[#This Row],[Gross_Sales]]-SALCE[[#This Row],[Discount_Value]]</f>
        <v>810</v>
      </c>
      <c r="R732" s="15" t="s">
        <v>61</v>
      </c>
      <c r="S732" s="15" t="s">
        <v>37</v>
      </c>
      <c r="T732" s="15" t="s">
        <v>27</v>
      </c>
    </row>
    <row r="733" spans="1:20" s="12" customFormat="1" ht="30" customHeight="1" thickTop="1" thickBot="1" x14ac:dyDescent="0.4">
      <c r="A733" s="7">
        <v>1732</v>
      </c>
      <c r="B733" s="8">
        <v>45659</v>
      </c>
      <c r="C733" s="14" t="s">
        <v>23</v>
      </c>
      <c r="D733" s="14" t="s">
        <v>29</v>
      </c>
      <c r="E733" s="14" t="s">
        <v>34</v>
      </c>
      <c r="F733" s="14" t="s">
        <v>32</v>
      </c>
      <c r="G733" s="7">
        <v>1</v>
      </c>
      <c r="H733" s="7">
        <v>4000</v>
      </c>
      <c r="I733" s="9">
        <v>10</v>
      </c>
      <c r="J733" s="10">
        <f>SALCE[[#This Row],[After_Discount]]*SALCE[[#This Row],[Tax_%]]/100</f>
        <v>5.0400000000000009</v>
      </c>
      <c r="K733" s="11">
        <v>0.14000000000000001</v>
      </c>
      <c r="L733" s="10">
        <f>SALCE[[#This Row],[Quantity]]*SALCE[[#This Row],[Unit_Price]]</f>
        <v>4000</v>
      </c>
      <c r="M733" s="10">
        <f>SALCE[[#This Row],[Gross_Sales]]*SALCE[[#This Row],[Discount_%]]/100</f>
        <v>400</v>
      </c>
      <c r="N733" s="10">
        <f>SALCE[[#This Row],[After_Discount]]+SALCE[[#This Row],[Tax_Value]]</f>
        <v>3605.04</v>
      </c>
      <c r="O733" s="10">
        <f>SALCE[[#This Row],[Gross_Sales]]*70%</f>
        <v>2800</v>
      </c>
      <c r="P733" s="10">
        <f>SALCE[[#This Row],[Net_Sales]]-SALCE[[#This Row],[Cost_Price]]</f>
        <v>805.04</v>
      </c>
      <c r="Q733" s="10">
        <f>SALCE[[#This Row],[Gross_Sales]]-SALCE[[#This Row],[Discount_Value]]</f>
        <v>3600</v>
      </c>
      <c r="R733" s="15" t="s">
        <v>59</v>
      </c>
      <c r="S733" s="15" t="s">
        <v>21</v>
      </c>
      <c r="T733" s="15" t="s">
        <v>22</v>
      </c>
    </row>
    <row r="734" spans="1:20" s="12" customFormat="1" ht="30" customHeight="1" thickTop="1" thickBot="1" x14ac:dyDescent="0.4">
      <c r="A734" s="7">
        <v>1733</v>
      </c>
      <c r="B734" s="8">
        <v>45660</v>
      </c>
      <c r="C734" s="14" t="s">
        <v>35</v>
      </c>
      <c r="D734" s="14" t="s">
        <v>29</v>
      </c>
      <c r="E734" s="14" t="s">
        <v>19</v>
      </c>
      <c r="F734" s="14" t="s">
        <v>20</v>
      </c>
      <c r="G734" s="7">
        <v>4</v>
      </c>
      <c r="H734" s="7">
        <v>300</v>
      </c>
      <c r="I734" s="9">
        <v>15</v>
      </c>
      <c r="J734" s="10">
        <f>SALCE[[#This Row],[After_Discount]]*SALCE[[#This Row],[Tax_%]]/100</f>
        <v>1.4280000000000002</v>
      </c>
      <c r="K734" s="11">
        <v>0.14000000000000001</v>
      </c>
      <c r="L734" s="10">
        <f>SALCE[[#This Row],[Quantity]]*SALCE[[#This Row],[Unit_Price]]</f>
        <v>1200</v>
      </c>
      <c r="M734" s="10">
        <f>SALCE[[#This Row],[Gross_Sales]]*SALCE[[#This Row],[Discount_%]]/100</f>
        <v>180</v>
      </c>
      <c r="N734" s="10">
        <f>SALCE[[#This Row],[After_Discount]]+SALCE[[#This Row],[Tax_Value]]</f>
        <v>1021.428</v>
      </c>
      <c r="O734" s="10">
        <f>SALCE[[#This Row],[Gross_Sales]]*70%</f>
        <v>840</v>
      </c>
      <c r="P734" s="10">
        <f>SALCE[[#This Row],[Net_Sales]]-SALCE[[#This Row],[Cost_Price]]</f>
        <v>181.428</v>
      </c>
      <c r="Q734" s="10">
        <f>SALCE[[#This Row],[Gross_Sales]]-SALCE[[#This Row],[Discount_Value]]</f>
        <v>1020</v>
      </c>
      <c r="R734" s="15" t="s">
        <v>52</v>
      </c>
      <c r="S734" s="15" t="s">
        <v>37</v>
      </c>
      <c r="T734" s="15" t="s">
        <v>27</v>
      </c>
    </row>
    <row r="735" spans="1:20" s="12" customFormat="1" ht="30" customHeight="1" thickTop="1" thickBot="1" x14ac:dyDescent="0.4">
      <c r="A735" s="7">
        <v>1734</v>
      </c>
      <c r="B735" s="8">
        <v>45661</v>
      </c>
      <c r="C735" s="14" t="s">
        <v>35</v>
      </c>
      <c r="D735" s="14" t="s">
        <v>38</v>
      </c>
      <c r="E735" s="14" t="s">
        <v>40</v>
      </c>
      <c r="F735" s="14" t="s">
        <v>20</v>
      </c>
      <c r="G735" s="7">
        <v>3</v>
      </c>
      <c r="H735" s="7">
        <v>800</v>
      </c>
      <c r="I735" s="9">
        <v>5</v>
      </c>
      <c r="J735" s="10">
        <f>SALCE[[#This Row],[After_Discount]]*SALCE[[#This Row],[Tax_%]]/100</f>
        <v>3.1920000000000006</v>
      </c>
      <c r="K735" s="11">
        <v>0.14000000000000001</v>
      </c>
      <c r="L735" s="10">
        <f>SALCE[[#This Row],[Quantity]]*SALCE[[#This Row],[Unit_Price]]</f>
        <v>2400</v>
      </c>
      <c r="M735" s="10">
        <f>SALCE[[#This Row],[Gross_Sales]]*SALCE[[#This Row],[Discount_%]]/100</f>
        <v>120</v>
      </c>
      <c r="N735" s="10">
        <f>SALCE[[#This Row],[After_Discount]]+SALCE[[#This Row],[Tax_Value]]</f>
        <v>2283.192</v>
      </c>
      <c r="O735" s="10">
        <f>SALCE[[#This Row],[Gross_Sales]]*70%</f>
        <v>1680</v>
      </c>
      <c r="P735" s="10">
        <f>SALCE[[#This Row],[Net_Sales]]-SALCE[[#This Row],[Cost_Price]]</f>
        <v>603.19200000000001</v>
      </c>
      <c r="Q735" s="10">
        <f>SALCE[[#This Row],[Gross_Sales]]-SALCE[[#This Row],[Discount_Value]]</f>
        <v>2280</v>
      </c>
      <c r="R735" s="15" t="s">
        <v>47</v>
      </c>
      <c r="S735" s="15" t="s">
        <v>21</v>
      </c>
      <c r="T735" s="15" t="s">
        <v>22</v>
      </c>
    </row>
    <row r="736" spans="1:20" s="12" customFormat="1" ht="30" customHeight="1" thickTop="1" thickBot="1" x14ac:dyDescent="0.4">
      <c r="A736" s="7">
        <v>1735</v>
      </c>
      <c r="B736" s="8">
        <v>45662</v>
      </c>
      <c r="C736" s="14" t="s">
        <v>28</v>
      </c>
      <c r="D736" s="14" t="s">
        <v>29</v>
      </c>
      <c r="E736" s="14" t="s">
        <v>34</v>
      </c>
      <c r="F736" s="14" t="s">
        <v>32</v>
      </c>
      <c r="G736" s="7">
        <v>2</v>
      </c>
      <c r="H736" s="7">
        <v>4000</v>
      </c>
      <c r="I736" s="9">
        <v>0</v>
      </c>
      <c r="J736" s="10">
        <f>SALCE[[#This Row],[After_Discount]]*SALCE[[#This Row],[Tax_%]]/100</f>
        <v>11.2</v>
      </c>
      <c r="K736" s="11">
        <v>0.14000000000000001</v>
      </c>
      <c r="L736" s="10">
        <f>SALCE[[#This Row],[Quantity]]*SALCE[[#This Row],[Unit_Price]]</f>
        <v>8000</v>
      </c>
      <c r="M736" s="10">
        <f>SALCE[[#This Row],[Gross_Sales]]*SALCE[[#This Row],[Discount_%]]/100</f>
        <v>0</v>
      </c>
      <c r="N736" s="10">
        <f>SALCE[[#This Row],[After_Discount]]+SALCE[[#This Row],[Tax_Value]]</f>
        <v>8011.2</v>
      </c>
      <c r="O736" s="10">
        <f>SALCE[[#This Row],[Gross_Sales]]*70%</f>
        <v>5600</v>
      </c>
      <c r="P736" s="10">
        <f>SALCE[[#This Row],[Net_Sales]]-SALCE[[#This Row],[Cost_Price]]</f>
        <v>2411.1999999999998</v>
      </c>
      <c r="Q736" s="10">
        <f>SALCE[[#This Row],[Gross_Sales]]-SALCE[[#This Row],[Discount_Value]]</f>
        <v>8000</v>
      </c>
      <c r="R736" s="15" t="s">
        <v>47</v>
      </c>
      <c r="S736" s="15" t="s">
        <v>21</v>
      </c>
      <c r="T736" s="15" t="s">
        <v>27</v>
      </c>
    </row>
    <row r="737" spans="1:20" s="12" customFormat="1" ht="30" customHeight="1" thickTop="1" thickBot="1" x14ac:dyDescent="0.4">
      <c r="A737" s="7">
        <v>1736</v>
      </c>
      <c r="B737" s="8">
        <v>45663</v>
      </c>
      <c r="C737" s="14" t="s">
        <v>35</v>
      </c>
      <c r="D737" s="14" t="s">
        <v>38</v>
      </c>
      <c r="E737" s="14" t="s">
        <v>40</v>
      </c>
      <c r="F737" s="14" t="s">
        <v>20</v>
      </c>
      <c r="G737" s="7">
        <v>7</v>
      </c>
      <c r="H737" s="7">
        <v>800</v>
      </c>
      <c r="I737" s="9">
        <v>0</v>
      </c>
      <c r="J737" s="10">
        <f>SALCE[[#This Row],[After_Discount]]*SALCE[[#This Row],[Tax_%]]/100</f>
        <v>7.8400000000000007</v>
      </c>
      <c r="K737" s="11">
        <v>0.14000000000000001</v>
      </c>
      <c r="L737" s="10">
        <f>SALCE[[#This Row],[Quantity]]*SALCE[[#This Row],[Unit_Price]]</f>
        <v>5600</v>
      </c>
      <c r="M737" s="10">
        <f>SALCE[[#This Row],[Gross_Sales]]*SALCE[[#This Row],[Discount_%]]/100</f>
        <v>0</v>
      </c>
      <c r="N737" s="10">
        <f>SALCE[[#This Row],[After_Discount]]+SALCE[[#This Row],[Tax_Value]]</f>
        <v>5607.84</v>
      </c>
      <c r="O737" s="10">
        <f>SALCE[[#This Row],[Gross_Sales]]*70%</f>
        <v>3919.9999999999995</v>
      </c>
      <c r="P737" s="10">
        <f>SALCE[[#This Row],[Net_Sales]]-SALCE[[#This Row],[Cost_Price]]</f>
        <v>1687.8400000000006</v>
      </c>
      <c r="Q737" s="10">
        <f>SALCE[[#This Row],[Gross_Sales]]-SALCE[[#This Row],[Discount_Value]]</f>
        <v>5600</v>
      </c>
      <c r="R737" s="15" t="s">
        <v>59</v>
      </c>
      <c r="S737" s="15" t="s">
        <v>21</v>
      </c>
      <c r="T737" s="15" t="s">
        <v>27</v>
      </c>
    </row>
    <row r="738" spans="1:20" s="12" customFormat="1" ht="30" customHeight="1" thickTop="1" thickBot="1" x14ac:dyDescent="0.4">
      <c r="A738" s="7">
        <v>1737</v>
      </c>
      <c r="B738" s="8">
        <v>45664</v>
      </c>
      <c r="C738" s="14" t="s">
        <v>28</v>
      </c>
      <c r="D738" s="14" t="s">
        <v>18</v>
      </c>
      <c r="E738" s="14" t="s">
        <v>40</v>
      </c>
      <c r="F738" s="14" t="s">
        <v>20</v>
      </c>
      <c r="G738" s="7">
        <v>4</v>
      </c>
      <c r="H738" s="7">
        <v>800</v>
      </c>
      <c r="I738" s="9">
        <v>10</v>
      </c>
      <c r="J738" s="10">
        <f>SALCE[[#This Row],[After_Discount]]*SALCE[[#This Row],[Tax_%]]/100</f>
        <v>4.032</v>
      </c>
      <c r="K738" s="11">
        <v>0.14000000000000001</v>
      </c>
      <c r="L738" s="10">
        <f>SALCE[[#This Row],[Quantity]]*SALCE[[#This Row],[Unit_Price]]</f>
        <v>3200</v>
      </c>
      <c r="M738" s="10">
        <f>SALCE[[#This Row],[Gross_Sales]]*SALCE[[#This Row],[Discount_%]]/100</f>
        <v>320</v>
      </c>
      <c r="N738" s="10">
        <f>SALCE[[#This Row],[After_Discount]]+SALCE[[#This Row],[Tax_Value]]</f>
        <v>2884.0320000000002</v>
      </c>
      <c r="O738" s="10">
        <f>SALCE[[#This Row],[Gross_Sales]]*70%</f>
        <v>2240</v>
      </c>
      <c r="P738" s="10">
        <f>SALCE[[#This Row],[Net_Sales]]-SALCE[[#This Row],[Cost_Price]]</f>
        <v>644.03200000000015</v>
      </c>
      <c r="Q738" s="10">
        <f>SALCE[[#This Row],[Gross_Sales]]-SALCE[[#This Row],[Discount_Value]]</f>
        <v>2880</v>
      </c>
      <c r="R738" s="15" t="s">
        <v>58</v>
      </c>
      <c r="S738" s="15" t="s">
        <v>21</v>
      </c>
      <c r="T738" s="15" t="s">
        <v>22</v>
      </c>
    </row>
    <row r="739" spans="1:20" s="12" customFormat="1" ht="30" customHeight="1" thickTop="1" thickBot="1" x14ac:dyDescent="0.4">
      <c r="A739" s="7">
        <v>1738</v>
      </c>
      <c r="B739" s="8">
        <v>45665</v>
      </c>
      <c r="C739" s="14" t="s">
        <v>39</v>
      </c>
      <c r="D739" s="14" t="s">
        <v>24</v>
      </c>
      <c r="E739" s="14" t="s">
        <v>33</v>
      </c>
      <c r="F739" s="14" t="s">
        <v>32</v>
      </c>
      <c r="G739" s="7">
        <v>8</v>
      </c>
      <c r="H739" s="7">
        <v>6000</v>
      </c>
      <c r="I739" s="9">
        <v>10</v>
      </c>
      <c r="J739" s="10">
        <f>SALCE[[#This Row],[After_Discount]]*SALCE[[#This Row],[Tax_%]]/100</f>
        <v>60.480000000000011</v>
      </c>
      <c r="K739" s="11">
        <v>0.14000000000000001</v>
      </c>
      <c r="L739" s="10">
        <f>SALCE[[#This Row],[Quantity]]*SALCE[[#This Row],[Unit_Price]]</f>
        <v>48000</v>
      </c>
      <c r="M739" s="10">
        <f>SALCE[[#This Row],[Gross_Sales]]*SALCE[[#This Row],[Discount_%]]/100</f>
        <v>4800</v>
      </c>
      <c r="N739" s="10">
        <f>SALCE[[#This Row],[After_Discount]]+SALCE[[#This Row],[Tax_Value]]</f>
        <v>43260.480000000003</v>
      </c>
      <c r="O739" s="10">
        <f>SALCE[[#This Row],[Gross_Sales]]*70%</f>
        <v>33600</v>
      </c>
      <c r="P739" s="10">
        <f>SALCE[[#This Row],[Net_Sales]]-SALCE[[#This Row],[Cost_Price]]</f>
        <v>9660.4800000000032</v>
      </c>
      <c r="Q739" s="10">
        <f>SALCE[[#This Row],[Gross_Sales]]-SALCE[[#This Row],[Discount_Value]]</f>
        <v>43200</v>
      </c>
      <c r="R739" s="15" t="s">
        <v>60</v>
      </c>
      <c r="S739" s="15" t="s">
        <v>21</v>
      </c>
      <c r="T739" s="15" t="s">
        <v>27</v>
      </c>
    </row>
    <row r="740" spans="1:20" s="12" customFormat="1" ht="30" customHeight="1" thickTop="1" thickBot="1" x14ac:dyDescent="0.4">
      <c r="A740" s="7">
        <v>1739</v>
      </c>
      <c r="B740" s="8">
        <v>45666</v>
      </c>
      <c r="C740" s="14" t="s">
        <v>39</v>
      </c>
      <c r="D740" s="14" t="s">
        <v>18</v>
      </c>
      <c r="E740" s="14" t="s">
        <v>31</v>
      </c>
      <c r="F740" s="14" t="s">
        <v>32</v>
      </c>
      <c r="G740" s="7">
        <v>1</v>
      </c>
      <c r="H740" s="7">
        <v>15000</v>
      </c>
      <c r="I740" s="9">
        <v>5</v>
      </c>
      <c r="J740" s="10">
        <f>SALCE[[#This Row],[After_Discount]]*SALCE[[#This Row],[Tax_%]]/100</f>
        <v>19.950000000000003</v>
      </c>
      <c r="K740" s="11">
        <v>0.14000000000000001</v>
      </c>
      <c r="L740" s="10">
        <f>SALCE[[#This Row],[Quantity]]*SALCE[[#This Row],[Unit_Price]]</f>
        <v>15000</v>
      </c>
      <c r="M740" s="10">
        <f>SALCE[[#This Row],[Gross_Sales]]*SALCE[[#This Row],[Discount_%]]/100</f>
        <v>750</v>
      </c>
      <c r="N740" s="10">
        <f>SALCE[[#This Row],[After_Discount]]+SALCE[[#This Row],[Tax_Value]]</f>
        <v>14269.95</v>
      </c>
      <c r="O740" s="10">
        <f>SALCE[[#This Row],[Gross_Sales]]*70%</f>
        <v>10500</v>
      </c>
      <c r="P740" s="10">
        <f>SALCE[[#This Row],[Net_Sales]]-SALCE[[#This Row],[Cost_Price]]</f>
        <v>3769.9500000000007</v>
      </c>
      <c r="Q740" s="10">
        <f>SALCE[[#This Row],[Gross_Sales]]-SALCE[[#This Row],[Discount_Value]]</f>
        <v>14250</v>
      </c>
      <c r="R740" s="15" t="s">
        <v>53</v>
      </c>
      <c r="S740" s="15" t="s">
        <v>26</v>
      </c>
      <c r="T740" s="15" t="s">
        <v>27</v>
      </c>
    </row>
    <row r="741" spans="1:20" s="12" customFormat="1" ht="30" customHeight="1" thickTop="1" thickBot="1" x14ac:dyDescent="0.4">
      <c r="A741" s="7">
        <v>1740</v>
      </c>
      <c r="B741" s="8">
        <v>45667</v>
      </c>
      <c r="C741" s="14" t="s">
        <v>39</v>
      </c>
      <c r="D741" s="14" t="s">
        <v>38</v>
      </c>
      <c r="E741" s="14" t="s">
        <v>40</v>
      </c>
      <c r="F741" s="14" t="s">
        <v>20</v>
      </c>
      <c r="G741" s="7">
        <v>10</v>
      </c>
      <c r="H741" s="7">
        <v>800</v>
      </c>
      <c r="I741" s="9">
        <v>15</v>
      </c>
      <c r="J741" s="10">
        <f>SALCE[[#This Row],[After_Discount]]*SALCE[[#This Row],[Tax_%]]/100</f>
        <v>9.5200000000000014</v>
      </c>
      <c r="K741" s="11">
        <v>0.14000000000000001</v>
      </c>
      <c r="L741" s="10">
        <f>SALCE[[#This Row],[Quantity]]*SALCE[[#This Row],[Unit_Price]]</f>
        <v>8000</v>
      </c>
      <c r="M741" s="10">
        <f>SALCE[[#This Row],[Gross_Sales]]*SALCE[[#This Row],[Discount_%]]/100</f>
        <v>1200</v>
      </c>
      <c r="N741" s="10">
        <f>SALCE[[#This Row],[After_Discount]]+SALCE[[#This Row],[Tax_Value]]</f>
        <v>6809.52</v>
      </c>
      <c r="O741" s="10">
        <f>SALCE[[#This Row],[Gross_Sales]]*70%</f>
        <v>5600</v>
      </c>
      <c r="P741" s="10">
        <f>SALCE[[#This Row],[Net_Sales]]-SALCE[[#This Row],[Cost_Price]]</f>
        <v>1209.5200000000004</v>
      </c>
      <c r="Q741" s="10">
        <f>SALCE[[#This Row],[Gross_Sales]]-SALCE[[#This Row],[Discount_Value]]</f>
        <v>6800</v>
      </c>
      <c r="R741" s="15" t="s">
        <v>58</v>
      </c>
      <c r="S741" s="15" t="s">
        <v>21</v>
      </c>
      <c r="T741" s="15" t="s">
        <v>22</v>
      </c>
    </row>
    <row r="742" spans="1:20" s="12" customFormat="1" ht="30" customHeight="1" thickTop="1" thickBot="1" x14ac:dyDescent="0.4">
      <c r="A742" s="7">
        <v>1741</v>
      </c>
      <c r="B742" s="8">
        <v>45668</v>
      </c>
      <c r="C742" s="14" t="s">
        <v>17</v>
      </c>
      <c r="D742" s="14" t="s">
        <v>38</v>
      </c>
      <c r="E742" s="14" t="s">
        <v>19</v>
      </c>
      <c r="F742" s="14" t="s">
        <v>20</v>
      </c>
      <c r="G742" s="7">
        <v>6</v>
      </c>
      <c r="H742" s="7">
        <v>300</v>
      </c>
      <c r="I742" s="9">
        <v>5</v>
      </c>
      <c r="J742" s="10">
        <f>SALCE[[#This Row],[After_Discount]]*SALCE[[#This Row],[Tax_%]]/100</f>
        <v>2.3940000000000001</v>
      </c>
      <c r="K742" s="11">
        <v>0.14000000000000001</v>
      </c>
      <c r="L742" s="10">
        <f>SALCE[[#This Row],[Quantity]]*SALCE[[#This Row],[Unit_Price]]</f>
        <v>1800</v>
      </c>
      <c r="M742" s="10">
        <f>SALCE[[#This Row],[Gross_Sales]]*SALCE[[#This Row],[Discount_%]]/100</f>
        <v>90</v>
      </c>
      <c r="N742" s="10">
        <f>SALCE[[#This Row],[After_Discount]]+SALCE[[#This Row],[Tax_Value]]</f>
        <v>1712.394</v>
      </c>
      <c r="O742" s="10">
        <f>SALCE[[#This Row],[Gross_Sales]]*70%</f>
        <v>1260</v>
      </c>
      <c r="P742" s="10">
        <f>SALCE[[#This Row],[Net_Sales]]-SALCE[[#This Row],[Cost_Price]]</f>
        <v>452.39400000000001</v>
      </c>
      <c r="Q742" s="10">
        <f>SALCE[[#This Row],[Gross_Sales]]-SALCE[[#This Row],[Discount_Value]]</f>
        <v>1710</v>
      </c>
      <c r="R742" s="15" t="s">
        <v>53</v>
      </c>
      <c r="S742" s="15" t="s">
        <v>26</v>
      </c>
      <c r="T742" s="15" t="s">
        <v>22</v>
      </c>
    </row>
    <row r="743" spans="1:20" s="12" customFormat="1" ht="30" customHeight="1" thickTop="1" thickBot="1" x14ac:dyDescent="0.4">
      <c r="A743" s="7">
        <v>1742</v>
      </c>
      <c r="B743" s="8">
        <v>45669</v>
      </c>
      <c r="C743" s="14" t="s">
        <v>39</v>
      </c>
      <c r="D743" s="14" t="s">
        <v>18</v>
      </c>
      <c r="E743" s="14" t="s">
        <v>25</v>
      </c>
      <c r="F743" s="14" t="s">
        <v>20</v>
      </c>
      <c r="G743" s="7">
        <v>6</v>
      </c>
      <c r="H743" s="7">
        <v>500</v>
      </c>
      <c r="I743" s="9">
        <v>5</v>
      </c>
      <c r="J743" s="10">
        <f>SALCE[[#This Row],[After_Discount]]*SALCE[[#This Row],[Tax_%]]/100</f>
        <v>3.9900000000000007</v>
      </c>
      <c r="K743" s="11">
        <v>0.14000000000000001</v>
      </c>
      <c r="L743" s="10">
        <f>SALCE[[#This Row],[Quantity]]*SALCE[[#This Row],[Unit_Price]]</f>
        <v>3000</v>
      </c>
      <c r="M743" s="10">
        <f>SALCE[[#This Row],[Gross_Sales]]*SALCE[[#This Row],[Discount_%]]/100</f>
        <v>150</v>
      </c>
      <c r="N743" s="10">
        <f>SALCE[[#This Row],[After_Discount]]+SALCE[[#This Row],[Tax_Value]]</f>
        <v>2853.99</v>
      </c>
      <c r="O743" s="10">
        <f>SALCE[[#This Row],[Gross_Sales]]*70%</f>
        <v>2100</v>
      </c>
      <c r="P743" s="10">
        <f>SALCE[[#This Row],[Net_Sales]]-SALCE[[#This Row],[Cost_Price]]</f>
        <v>753.98999999999978</v>
      </c>
      <c r="Q743" s="10">
        <f>SALCE[[#This Row],[Gross_Sales]]-SALCE[[#This Row],[Discount_Value]]</f>
        <v>2850</v>
      </c>
      <c r="R743" s="15" t="s">
        <v>62</v>
      </c>
      <c r="S743" s="15" t="s">
        <v>26</v>
      </c>
      <c r="T743" s="15" t="s">
        <v>27</v>
      </c>
    </row>
    <row r="744" spans="1:20" s="12" customFormat="1" ht="30" customHeight="1" thickTop="1" thickBot="1" x14ac:dyDescent="0.4">
      <c r="A744" s="7">
        <v>1743</v>
      </c>
      <c r="B744" s="8">
        <v>45670</v>
      </c>
      <c r="C744" s="14" t="s">
        <v>30</v>
      </c>
      <c r="D744" s="14" t="s">
        <v>18</v>
      </c>
      <c r="E744" s="14" t="s">
        <v>25</v>
      </c>
      <c r="F744" s="14" t="s">
        <v>20</v>
      </c>
      <c r="G744" s="7">
        <v>2</v>
      </c>
      <c r="H744" s="7">
        <v>500</v>
      </c>
      <c r="I744" s="9">
        <v>15</v>
      </c>
      <c r="J744" s="10">
        <f>SALCE[[#This Row],[After_Discount]]*SALCE[[#This Row],[Tax_%]]/100</f>
        <v>1.1900000000000002</v>
      </c>
      <c r="K744" s="11">
        <v>0.14000000000000001</v>
      </c>
      <c r="L744" s="10">
        <f>SALCE[[#This Row],[Quantity]]*SALCE[[#This Row],[Unit_Price]]</f>
        <v>1000</v>
      </c>
      <c r="M744" s="10">
        <f>SALCE[[#This Row],[Gross_Sales]]*SALCE[[#This Row],[Discount_%]]/100</f>
        <v>150</v>
      </c>
      <c r="N744" s="10">
        <f>SALCE[[#This Row],[After_Discount]]+SALCE[[#This Row],[Tax_Value]]</f>
        <v>851.19</v>
      </c>
      <c r="O744" s="10">
        <f>SALCE[[#This Row],[Gross_Sales]]*70%</f>
        <v>700</v>
      </c>
      <c r="P744" s="10">
        <f>SALCE[[#This Row],[Net_Sales]]-SALCE[[#This Row],[Cost_Price]]</f>
        <v>151.19000000000005</v>
      </c>
      <c r="Q744" s="10">
        <f>SALCE[[#This Row],[Gross_Sales]]-SALCE[[#This Row],[Discount_Value]]</f>
        <v>850</v>
      </c>
      <c r="R744" s="15" t="s">
        <v>53</v>
      </c>
      <c r="S744" s="15" t="s">
        <v>21</v>
      </c>
      <c r="T744" s="15" t="s">
        <v>22</v>
      </c>
    </row>
    <row r="745" spans="1:20" s="12" customFormat="1" ht="30" customHeight="1" thickTop="1" thickBot="1" x14ac:dyDescent="0.4">
      <c r="A745" s="7">
        <v>1744</v>
      </c>
      <c r="B745" s="8">
        <v>45671</v>
      </c>
      <c r="C745" s="14" t="s">
        <v>28</v>
      </c>
      <c r="D745" s="14" t="s">
        <v>41</v>
      </c>
      <c r="E745" s="14" t="s">
        <v>33</v>
      </c>
      <c r="F745" s="14" t="s">
        <v>32</v>
      </c>
      <c r="G745" s="7">
        <v>9</v>
      </c>
      <c r="H745" s="7">
        <v>6000</v>
      </c>
      <c r="I745" s="9">
        <v>10</v>
      </c>
      <c r="J745" s="10">
        <f>SALCE[[#This Row],[After_Discount]]*SALCE[[#This Row],[Tax_%]]/100</f>
        <v>68.040000000000006</v>
      </c>
      <c r="K745" s="11">
        <v>0.14000000000000001</v>
      </c>
      <c r="L745" s="10">
        <f>SALCE[[#This Row],[Quantity]]*SALCE[[#This Row],[Unit_Price]]</f>
        <v>54000</v>
      </c>
      <c r="M745" s="10">
        <f>SALCE[[#This Row],[Gross_Sales]]*SALCE[[#This Row],[Discount_%]]/100</f>
        <v>5400</v>
      </c>
      <c r="N745" s="10">
        <f>SALCE[[#This Row],[After_Discount]]+SALCE[[#This Row],[Tax_Value]]</f>
        <v>48668.04</v>
      </c>
      <c r="O745" s="10">
        <f>SALCE[[#This Row],[Gross_Sales]]*70%</f>
        <v>37800</v>
      </c>
      <c r="P745" s="10">
        <f>SALCE[[#This Row],[Net_Sales]]-SALCE[[#This Row],[Cost_Price]]</f>
        <v>10868.04</v>
      </c>
      <c r="Q745" s="10">
        <f>SALCE[[#This Row],[Gross_Sales]]-SALCE[[#This Row],[Discount_Value]]</f>
        <v>48600</v>
      </c>
      <c r="R745" s="15" t="s">
        <v>54</v>
      </c>
      <c r="S745" s="15" t="s">
        <v>37</v>
      </c>
      <c r="T745" s="15" t="s">
        <v>22</v>
      </c>
    </row>
    <row r="746" spans="1:20" s="12" customFormat="1" ht="30" customHeight="1" thickTop="1" thickBot="1" x14ac:dyDescent="0.4">
      <c r="A746" s="7">
        <v>1745</v>
      </c>
      <c r="B746" s="8">
        <v>45672</v>
      </c>
      <c r="C746" s="14" t="s">
        <v>28</v>
      </c>
      <c r="D746" s="14" t="s">
        <v>29</v>
      </c>
      <c r="E746" s="14" t="s">
        <v>31</v>
      </c>
      <c r="F746" s="14" t="s">
        <v>32</v>
      </c>
      <c r="G746" s="7">
        <v>1</v>
      </c>
      <c r="H746" s="7">
        <v>15000</v>
      </c>
      <c r="I746" s="9">
        <v>5</v>
      </c>
      <c r="J746" s="10">
        <f>SALCE[[#This Row],[After_Discount]]*SALCE[[#This Row],[Tax_%]]/100</f>
        <v>19.950000000000003</v>
      </c>
      <c r="K746" s="11">
        <v>0.14000000000000001</v>
      </c>
      <c r="L746" s="10">
        <f>SALCE[[#This Row],[Quantity]]*SALCE[[#This Row],[Unit_Price]]</f>
        <v>15000</v>
      </c>
      <c r="M746" s="10">
        <f>SALCE[[#This Row],[Gross_Sales]]*SALCE[[#This Row],[Discount_%]]/100</f>
        <v>750</v>
      </c>
      <c r="N746" s="10">
        <f>SALCE[[#This Row],[After_Discount]]+SALCE[[#This Row],[Tax_Value]]</f>
        <v>14269.95</v>
      </c>
      <c r="O746" s="10">
        <f>SALCE[[#This Row],[Gross_Sales]]*70%</f>
        <v>10500</v>
      </c>
      <c r="P746" s="10">
        <f>SALCE[[#This Row],[Net_Sales]]-SALCE[[#This Row],[Cost_Price]]</f>
        <v>3769.9500000000007</v>
      </c>
      <c r="Q746" s="10">
        <f>SALCE[[#This Row],[Gross_Sales]]-SALCE[[#This Row],[Discount_Value]]</f>
        <v>14250</v>
      </c>
      <c r="R746" s="15" t="s">
        <v>52</v>
      </c>
      <c r="S746" s="15" t="s">
        <v>26</v>
      </c>
      <c r="T746" s="15" t="s">
        <v>27</v>
      </c>
    </row>
    <row r="747" spans="1:20" s="12" customFormat="1" ht="30" customHeight="1" thickTop="1" thickBot="1" x14ac:dyDescent="0.4">
      <c r="A747" s="7">
        <v>1746</v>
      </c>
      <c r="B747" s="8">
        <v>45673</v>
      </c>
      <c r="C747" s="14" t="s">
        <v>28</v>
      </c>
      <c r="D747" s="14" t="s">
        <v>36</v>
      </c>
      <c r="E747" s="14" t="s">
        <v>25</v>
      </c>
      <c r="F747" s="14" t="s">
        <v>20</v>
      </c>
      <c r="G747" s="7">
        <v>6</v>
      </c>
      <c r="H747" s="7">
        <v>500</v>
      </c>
      <c r="I747" s="9">
        <v>10</v>
      </c>
      <c r="J747" s="10">
        <f>SALCE[[#This Row],[After_Discount]]*SALCE[[#This Row],[Tax_%]]/100</f>
        <v>3.7800000000000007</v>
      </c>
      <c r="K747" s="11">
        <v>0.14000000000000001</v>
      </c>
      <c r="L747" s="10">
        <f>SALCE[[#This Row],[Quantity]]*SALCE[[#This Row],[Unit_Price]]</f>
        <v>3000</v>
      </c>
      <c r="M747" s="10">
        <f>SALCE[[#This Row],[Gross_Sales]]*SALCE[[#This Row],[Discount_%]]/100</f>
        <v>300</v>
      </c>
      <c r="N747" s="10">
        <f>SALCE[[#This Row],[After_Discount]]+SALCE[[#This Row],[Tax_Value]]</f>
        <v>2703.78</v>
      </c>
      <c r="O747" s="10">
        <f>SALCE[[#This Row],[Gross_Sales]]*70%</f>
        <v>2100</v>
      </c>
      <c r="P747" s="10">
        <f>SALCE[[#This Row],[Net_Sales]]-SALCE[[#This Row],[Cost_Price]]</f>
        <v>603.7800000000002</v>
      </c>
      <c r="Q747" s="10">
        <f>SALCE[[#This Row],[Gross_Sales]]-SALCE[[#This Row],[Discount_Value]]</f>
        <v>2700</v>
      </c>
      <c r="R747" s="15" t="s">
        <v>57</v>
      </c>
      <c r="S747" s="15" t="s">
        <v>21</v>
      </c>
      <c r="T747" s="15" t="s">
        <v>27</v>
      </c>
    </row>
    <row r="748" spans="1:20" s="12" customFormat="1" ht="30" customHeight="1" thickTop="1" thickBot="1" x14ac:dyDescent="0.4">
      <c r="A748" s="7">
        <v>1747</v>
      </c>
      <c r="B748" s="8">
        <v>45674</v>
      </c>
      <c r="C748" s="14" t="s">
        <v>17</v>
      </c>
      <c r="D748" s="14" t="s">
        <v>24</v>
      </c>
      <c r="E748" s="14" t="s">
        <v>34</v>
      </c>
      <c r="F748" s="14" t="s">
        <v>32</v>
      </c>
      <c r="G748" s="7">
        <v>9</v>
      </c>
      <c r="H748" s="7">
        <v>4000</v>
      </c>
      <c r="I748" s="9">
        <v>0</v>
      </c>
      <c r="J748" s="10">
        <f>SALCE[[#This Row],[After_Discount]]*SALCE[[#This Row],[Tax_%]]/100</f>
        <v>50.400000000000006</v>
      </c>
      <c r="K748" s="11">
        <v>0.14000000000000001</v>
      </c>
      <c r="L748" s="10">
        <f>SALCE[[#This Row],[Quantity]]*SALCE[[#This Row],[Unit_Price]]</f>
        <v>36000</v>
      </c>
      <c r="M748" s="10">
        <f>SALCE[[#This Row],[Gross_Sales]]*SALCE[[#This Row],[Discount_%]]/100</f>
        <v>0</v>
      </c>
      <c r="N748" s="10">
        <f>SALCE[[#This Row],[After_Discount]]+SALCE[[#This Row],[Tax_Value]]</f>
        <v>36050.400000000001</v>
      </c>
      <c r="O748" s="10">
        <f>SALCE[[#This Row],[Gross_Sales]]*70%</f>
        <v>25200</v>
      </c>
      <c r="P748" s="10">
        <f>SALCE[[#This Row],[Net_Sales]]-SALCE[[#This Row],[Cost_Price]]</f>
        <v>10850.400000000001</v>
      </c>
      <c r="Q748" s="10">
        <f>SALCE[[#This Row],[Gross_Sales]]-SALCE[[#This Row],[Discount_Value]]</f>
        <v>36000</v>
      </c>
      <c r="R748" s="15" t="s">
        <v>51</v>
      </c>
      <c r="S748" s="15" t="s">
        <v>37</v>
      </c>
      <c r="T748" s="15" t="s">
        <v>22</v>
      </c>
    </row>
    <row r="749" spans="1:20" s="12" customFormat="1" ht="30" customHeight="1" thickTop="1" thickBot="1" x14ac:dyDescent="0.4">
      <c r="A749" s="7">
        <v>1748</v>
      </c>
      <c r="B749" s="8">
        <v>45675</v>
      </c>
      <c r="C749" s="14" t="s">
        <v>17</v>
      </c>
      <c r="D749" s="14" t="s">
        <v>24</v>
      </c>
      <c r="E749" s="14" t="s">
        <v>31</v>
      </c>
      <c r="F749" s="14" t="s">
        <v>32</v>
      </c>
      <c r="G749" s="7">
        <v>4</v>
      </c>
      <c r="H749" s="7">
        <v>15000</v>
      </c>
      <c r="I749" s="9">
        <v>0</v>
      </c>
      <c r="J749" s="10">
        <f>SALCE[[#This Row],[After_Discount]]*SALCE[[#This Row],[Tax_%]]/100</f>
        <v>84</v>
      </c>
      <c r="K749" s="11">
        <v>0.14000000000000001</v>
      </c>
      <c r="L749" s="10">
        <f>SALCE[[#This Row],[Quantity]]*SALCE[[#This Row],[Unit_Price]]</f>
        <v>60000</v>
      </c>
      <c r="M749" s="10">
        <f>SALCE[[#This Row],[Gross_Sales]]*SALCE[[#This Row],[Discount_%]]/100</f>
        <v>0</v>
      </c>
      <c r="N749" s="10">
        <f>SALCE[[#This Row],[After_Discount]]+SALCE[[#This Row],[Tax_Value]]</f>
        <v>60084</v>
      </c>
      <c r="O749" s="10">
        <f>SALCE[[#This Row],[Gross_Sales]]*70%</f>
        <v>42000</v>
      </c>
      <c r="P749" s="10">
        <f>SALCE[[#This Row],[Net_Sales]]-SALCE[[#This Row],[Cost_Price]]</f>
        <v>18084</v>
      </c>
      <c r="Q749" s="10">
        <f>SALCE[[#This Row],[Gross_Sales]]-SALCE[[#This Row],[Discount_Value]]</f>
        <v>60000</v>
      </c>
      <c r="R749" s="15" t="s">
        <v>59</v>
      </c>
      <c r="S749" s="15" t="s">
        <v>37</v>
      </c>
      <c r="T749" s="15" t="s">
        <v>22</v>
      </c>
    </row>
    <row r="750" spans="1:20" s="12" customFormat="1" ht="30" customHeight="1" thickTop="1" thickBot="1" x14ac:dyDescent="0.4">
      <c r="A750" s="7">
        <v>1749</v>
      </c>
      <c r="B750" s="8">
        <v>45676</v>
      </c>
      <c r="C750" s="14" t="s">
        <v>35</v>
      </c>
      <c r="D750" s="14" t="s">
        <v>24</v>
      </c>
      <c r="E750" s="14" t="s">
        <v>31</v>
      </c>
      <c r="F750" s="14" t="s">
        <v>32</v>
      </c>
      <c r="G750" s="7">
        <v>1</v>
      </c>
      <c r="H750" s="7">
        <v>15000</v>
      </c>
      <c r="I750" s="9">
        <v>5</v>
      </c>
      <c r="J750" s="10">
        <f>SALCE[[#This Row],[After_Discount]]*SALCE[[#This Row],[Tax_%]]/100</f>
        <v>19.950000000000003</v>
      </c>
      <c r="K750" s="11">
        <v>0.14000000000000001</v>
      </c>
      <c r="L750" s="10">
        <f>SALCE[[#This Row],[Quantity]]*SALCE[[#This Row],[Unit_Price]]</f>
        <v>15000</v>
      </c>
      <c r="M750" s="10">
        <f>SALCE[[#This Row],[Gross_Sales]]*SALCE[[#This Row],[Discount_%]]/100</f>
        <v>750</v>
      </c>
      <c r="N750" s="10">
        <f>SALCE[[#This Row],[After_Discount]]+SALCE[[#This Row],[Tax_Value]]</f>
        <v>14269.95</v>
      </c>
      <c r="O750" s="10">
        <f>SALCE[[#This Row],[Gross_Sales]]*70%</f>
        <v>10500</v>
      </c>
      <c r="P750" s="10">
        <f>SALCE[[#This Row],[Net_Sales]]-SALCE[[#This Row],[Cost_Price]]</f>
        <v>3769.9500000000007</v>
      </c>
      <c r="Q750" s="10">
        <f>SALCE[[#This Row],[Gross_Sales]]-SALCE[[#This Row],[Discount_Value]]</f>
        <v>14250</v>
      </c>
      <c r="R750" s="15" t="s">
        <v>47</v>
      </c>
      <c r="S750" s="15" t="s">
        <v>37</v>
      </c>
      <c r="T750" s="15" t="s">
        <v>22</v>
      </c>
    </row>
    <row r="751" spans="1:20" s="12" customFormat="1" ht="30" customHeight="1" thickTop="1" thickBot="1" x14ac:dyDescent="0.4">
      <c r="A751" s="7">
        <v>1750</v>
      </c>
      <c r="B751" s="8">
        <v>45677</v>
      </c>
      <c r="C751" s="14" t="s">
        <v>17</v>
      </c>
      <c r="D751" s="14" t="s">
        <v>29</v>
      </c>
      <c r="E751" s="14" t="s">
        <v>34</v>
      </c>
      <c r="F751" s="14" t="s">
        <v>32</v>
      </c>
      <c r="G751" s="7">
        <v>3</v>
      </c>
      <c r="H751" s="7">
        <v>4000</v>
      </c>
      <c r="I751" s="9">
        <v>15</v>
      </c>
      <c r="J751" s="10">
        <f>SALCE[[#This Row],[After_Discount]]*SALCE[[#This Row],[Tax_%]]/100</f>
        <v>14.280000000000003</v>
      </c>
      <c r="K751" s="11">
        <v>0.14000000000000001</v>
      </c>
      <c r="L751" s="10">
        <f>SALCE[[#This Row],[Quantity]]*SALCE[[#This Row],[Unit_Price]]</f>
        <v>12000</v>
      </c>
      <c r="M751" s="10">
        <f>SALCE[[#This Row],[Gross_Sales]]*SALCE[[#This Row],[Discount_%]]/100</f>
        <v>1800</v>
      </c>
      <c r="N751" s="10">
        <f>SALCE[[#This Row],[After_Discount]]+SALCE[[#This Row],[Tax_Value]]</f>
        <v>10214.280000000001</v>
      </c>
      <c r="O751" s="10">
        <f>SALCE[[#This Row],[Gross_Sales]]*70%</f>
        <v>8400</v>
      </c>
      <c r="P751" s="10">
        <f>SALCE[[#This Row],[Net_Sales]]-SALCE[[#This Row],[Cost_Price]]</f>
        <v>1814.2800000000007</v>
      </c>
      <c r="Q751" s="10">
        <f>SALCE[[#This Row],[Gross_Sales]]-SALCE[[#This Row],[Discount_Value]]</f>
        <v>10200</v>
      </c>
      <c r="R751" s="15" t="s">
        <v>56</v>
      </c>
      <c r="S751" s="15" t="s">
        <v>37</v>
      </c>
      <c r="T751" s="15" t="s">
        <v>27</v>
      </c>
    </row>
    <row r="752" spans="1:20" s="12" customFormat="1" ht="30" customHeight="1" thickTop="1" thickBot="1" x14ac:dyDescent="0.4">
      <c r="A752" s="7">
        <v>1751</v>
      </c>
      <c r="B752" s="8">
        <v>45678</v>
      </c>
      <c r="C752" s="14" t="s">
        <v>28</v>
      </c>
      <c r="D752" s="14" t="s">
        <v>41</v>
      </c>
      <c r="E752" s="14" t="s">
        <v>25</v>
      </c>
      <c r="F752" s="14" t="s">
        <v>20</v>
      </c>
      <c r="G752" s="7">
        <v>4</v>
      </c>
      <c r="H752" s="7">
        <v>500</v>
      </c>
      <c r="I752" s="9">
        <v>10</v>
      </c>
      <c r="J752" s="10">
        <f>SALCE[[#This Row],[After_Discount]]*SALCE[[#This Row],[Tax_%]]/100</f>
        <v>2.5200000000000005</v>
      </c>
      <c r="K752" s="11">
        <v>0.14000000000000001</v>
      </c>
      <c r="L752" s="10">
        <f>SALCE[[#This Row],[Quantity]]*SALCE[[#This Row],[Unit_Price]]</f>
        <v>2000</v>
      </c>
      <c r="M752" s="10">
        <f>SALCE[[#This Row],[Gross_Sales]]*SALCE[[#This Row],[Discount_%]]/100</f>
        <v>200</v>
      </c>
      <c r="N752" s="10">
        <f>SALCE[[#This Row],[After_Discount]]+SALCE[[#This Row],[Tax_Value]]</f>
        <v>1802.52</v>
      </c>
      <c r="O752" s="10">
        <f>SALCE[[#This Row],[Gross_Sales]]*70%</f>
        <v>1400</v>
      </c>
      <c r="P752" s="10">
        <f>SALCE[[#This Row],[Net_Sales]]-SALCE[[#This Row],[Cost_Price]]</f>
        <v>402.52</v>
      </c>
      <c r="Q752" s="10">
        <f>SALCE[[#This Row],[Gross_Sales]]-SALCE[[#This Row],[Discount_Value]]</f>
        <v>1800</v>
      </c>
      <c r="R752" s="15" t="s">
        <v>56</v>
      </c>
      <c r="S752" s="15" t="s">
        <v>37</v>
      </c>
      <c r="T752" s="15" t="s">
        <v>27</v>
      </c>
    </row>
    <row r="753" spans="1:20" s="12" customFormat="1" ht="30" customHeight="1" thickTop="1" thickBot="1" x14ac:dyDescent="0.4">
      <c r="A753" s="7">
        <v>1752</v>
      </c>
      <c r="B753" s="8">
        <v>45679</v>
      </c>
      <c r="C753" s="14" t="s">
        <v>17</v>
      </c>
      <c r="D753" s="14" t="s">
        <v>41</v>
      </c>
      <c r="E753" s="14" t="s">
        <v>31</v>
      </c>
      <c r="F753" s="14" t="s">
        <v>32</v>
      </c>
      <c r="G753" s="7">
        <v>6</v>
      </c>
      <c r="H753" s="7">
        <v>15000</v>
      </c>
      <c r="I753" s="9">
        <v>5</v>
      </c>
      <c r="J753" s="10">
        <f>SALCE[[#This Row],[After_Discount]]*SALCE[[#This Row],[Tax_%]]/100</f>
        <v>119.70000000000002</v>
      </c>
      <c r="K753" s="11">
        <v>0.14000000000000001</v>
      </c>
      <c r="L753" s="10">
        <f>SALCE[[#This Row],[Quantity]]*SALCE[[#This Row],[Unit_Price]]</f>
        <v>90000</v>
      </c>
      <c r="M753" s="10">
        <f>SALCE[[#This Row],[Gross_Sales]]*SALCE[[#This Row],[Discount_%]]/100</f>
        <v>4500</v>
      </c>
      <c r="N753" s="10">
        <f>SALCE[[#This Row],[After_Discount]]+SALCE[[#This Row],[Tax_Value]]</f>
        <v>85619.7</v>
      </c>
      <c r="O753" s="10">
        <f>SALCE[[#This Row],[Gross_Sales]]*70%</f>
        <v>62999.999999999993</v>
      </c>
      <c r="P753" s="10">
        <f>SALCE[[#This Row],[Net_Sales]]-SALCE[[#This Row],[Cost_Price]]</f>
        <v>22619.700000000004</v>
      </c>
      <c r="Q753" s="10">
        <f>SALCE[[#This Row],[Gross_Sales]]-SALCE[[#This Row],[Discount_Value]]</f>
        <v>85500</v>
      </c>
      <c r="R753" s="15" t="s">
        <v>61</v>
      </c>
      <c r="S753" s="15" t="s">
        <v>37</v>
      </c>
      <c r="T753" s="15" t="s">
        <v>27</v>
      </c>
    </row>
    <row r="754" spans="1:20" s="12" customFormat="1" ht="30" customHeight="1" thickTop="1" thickBot="1" x14ac:dyDescent="0.4">
      <c r="A754" s="7">
        <v>1753</v>
      </c>
      <c r="B754" s="8">
        <v>45680</v>
      </c>
      <c r="C754" s="14" t="s">
        <v>30</v>
      </c>
      <c r="D754" s="14" t="s">
        <v>36</v>
      </c>
      <c r="E754" s="14" t="s">
        <v>25</v>
      </c>
      <c r="F754" s="14" t="s">
        <v>20</v>
      </c>
      <c r="G754" s="7">
        <v>3</v>
      </c>
      <c r="H754" s="7">
        <v>500</v>
      </c>
      <c r="I754" s="9">
        <v>0</v>
      </c>
      <c r="J754" s="10">
        <f>SALCE[[#This Row],[After_Discount]]*SALCE[[#This Row],[Tax_%]]/100</f>
        <v>2.1</v>
      </c>
      <c r="K754" s="11">
        <v>0.14000000000000001</v>
      </c>
      <c r="L754" s="10">
        <f>SALCE[[#This Row],[Quantity]]*SALCE[[#This Row],[Unit_Price]]</f>
        <v>1500</v>
      </c>
      <c r="M754" s="10">
        <f>SALCE[[#This Row],[Gross_Sales]]*SALCE[[#This Row],[Discount_%]]/100</f>
        <v>0</v>
      </c>
      <c r="N754" s="10">
        <f>SALCE[[#This Row],[After_Discount]]+SALCE[[#This Row],[Tax_Value]]</f>
        <v>1502.1</v>
      </c>
      <c r="O754" s="10">
        <f>SALCE[[#This Row],[Gross_Sales]]*70%</f>
        <v>1050</v>
      </c>
      <c r="P754" s="10">
        <f>SALCE[[#This Row],[Net_Sales]]-SALCE[[#This Row],[Cost_Price]]</f>
        <v>452.09999999999991</v>
      </c>
      <c r="Q754" s="10">
        <f>SALCE[[#This Row],[Gross_Sales]]-SALCE[[#This Row],[Discount_Value]]</f>
        <v>1500</v>
      </c>
      <c r="R754" s="15" t="s">
        <v>57</v>
      </c>
      <c r="S754" s="15" t="s">
        <v>21</v>
      </c>
      <c r="T754" s="15" t="s">
        <v>22</v>
      </c>
    </row>
    <row r="755" spans="1:20" s="12" customFormat="1" ht="30" customHeight="1" thickTop="1" thickBot="1" x14ac:dyDescent="0.4">
      <c r="A755" s="7">
        <v>1754</v>
      </c>
      <c r="B755" s="8">
        <v>45681</v>
      </c>
      <c r="C755" s="14" t="s">
        <v>28</v>
      </c>
      <c r="D755" s="14" t="s">
        <v>38</v>
      </c>
      <c r="E755" s="14" t="s">
        <v>19</v>
      </c>
      <c r="F755" s="14" t="s">
        <v>20</v>
      </c>
      <c r="G755" s="7">
        <v>10</v>
      </c>
      <c r="H755" s="7">
        <v>300</v>
      </c>
      <c r="I755" s="9">
        <v>0</v>
      </c>
      <c r="J755" s="10">
        <f>SALCE[[#This Row],[After_Discount]]*SALCE[[#This Row],[Tax_%]]/100</f>
        <v>4.2</v>
      </c>
      <c r="K755" s="11">
        <v>0.14000000000000001</v>
      </c>
      <c r="L755" s="10">
        <f>SALCE[[#This Row],[Quantity]]*SALCE[[#This Row],[Unit_Price]]</f>
        <v>3000</v>
      </c>
      <c r="M755" s="10">
        <f>SALCE[[#This Row],[Gross_Sales]]*SALCE[[#This Row],[Discount_%]]/100</f>
        <v>0</v>
      </c>
      <c r="N755" s="10">
        <f>SALCE[[#This Row],[After_Discount]]+SALCE[[#This Row],[Tax_Value]]</f>
        <v>3004.2</v>
      </c>
      <c r="O755" s="10">
        <f>SALCE[[#This Row],[Gross_Sales]]*70%</f>
        <v>2100</v>
      </c>
      <c r="P755" s="10">
        <f>SALCE[[#This Row],[Net_Sales]]-SALCE[[#This Row],[Cost_Price]]</f>
        <v>904.19999999999982</v>
      </c>
      <c r="Q755" s="10">
        <f>SALCE[[#This Row],[Gross_Sales]]-SALCE[[#This Row],[Discount_Value]]</f>
        <v>3000</v>
      </c>
      <c r="R755" s="15" t="s">
        <v>52</v>
      </c>
      <c r="S755" s="15" t="s">
        <v>37</v>
      </c>
      <c r="T755" s="15" t="s">
        <v>22</v>
      </c>
    </row>
    <row r="756" spans="1:20" s="12" customFormat="1" ht="30" customHeight="1" thickTop="1" thickBot="1" x14ac:dyDescent="0.4">
      <c r="A756" s="7">
        <v>1755</v>
      </c>
      <c r="B756" s="8">
        <v>45682</v>
      </c>
      <c r="C756" s="14" t="s">
        <v>30</v>
      </c>
      <c r="D756" s="14" t="s">
        <v>24</v>
      </c>
      <c r="E756" s="14" t="s">
        <v>19</v>
      </c>
      <c r="F756" s="14" t="s">
        <v>20</v>
      </c>
      <c r="G756" s="7">
        <v>8</v>
      </c>
      <c r="H756" s="7">
        <v>300</v>
      </c>
      <c r="I756" s="9">
        <v>10</v>
      </c>
      <c r="J756" s="10">
        <f>SALCE[[#This Row],[After_Discount]]*SALCE[[#This Row],[Tax_%]]/100</f>
        <v>3.0240000000000005</v>
      </c>
      <c r="K756" s="11">
        <v>0.14000000000000001</v>
      </c>
      <c r="L756" s="10">
        <f>SALCE[[#This Row],[Quantity]]*SALCE[[#This Row],[Unit_Price]]</f>
        <v>2400</v>
      </c>
      <c r="M756" s="10">
        <f>SALCE[[#This Row],[Gross_Sales]]*SALCE[[#This Row],[Discount_%]]/100</f>
        <v>240</v>
      </c>
      <c r="N756" s="10">
        <f>SALCE[[#This Row],[After_Discount]]+SALCE[[#This Row],[Tax_Value]]</f>
        <v>2163.0239999999999</v>
      </c>
      <c r="O756" s="10">
        <f>SALCE[[#This Row],[Gross_Sales]]*70%</f>
        <v>1680</v>
      </c>
      <c r="P756" s="10">
        <f>SALCE[[#This Row],[Net_Sales]]-SALCE[[#This Row],[Cost_Price]]</f>
        <v>483.02399999999989</v>
      </c>
      <c r="Q756" s="10">
        <f>SALCE[[#This Row],[Gross_Sales]]-SALCE[[#This Row],[Discount_Value]]</f>
        <v>2160</v>
      </c>
      <c r="R756" s="15" t="s">
        <v>56</v>
      </c>
      <c r="S756" s="15" t="s">
        <v>21</v>
      </c>
      <c r="T756" s="15" t="s">
        <v>27</v>
      </c>
    </row>
    <row r="757" spans="1:20" s="12" customFormat="1" ht="30" customHeight="1" thickTop="1" thickBot="1" x14ac:dyDescent="0.4">
      <c r="A757" s="7">
        <v>1756</v>
      </c>
      <c r="B757" s="8">
        <v>45683</v>
      </c>
      <c r="C757" s="14" t="s">
        <v>28</v>
      </c>
      <c r="D757" s="14" t="s">
        <v>36</v>
      </c>
      <c r="E757" s="14" t="s">
        <v>19</v>
      </c>
      <c r="F757" s="14" t="s">
        <v>20</v>
      </c>
      <c r="G757" s="7">
        <v>2</v>
      </c>
      <c r="H757" s="7">
        <v>300</v>
      </c>
      <c r="I757" s="9">
        <v>10</v>
      </c>
      <c r="J757" s="10">
        <f>SALCE[[#This Row],[After_Discount]]*SALCE[[#This Row],[Tax_%]]/100</f>
        <v>0.75600000000000012</v>
      </c>
      <c r="K757" s="11">
        <v>0.14000000000000001</v>
      </c>
      <c r="L757" s="10">
        <f>SALCE[[#This Row],[Quantity]]*SALCE[[#This Row],[Unit_Price]]</f>
        <v>600</v>
      </c>
      <c r="M757" s="10">
        <f>SALCE[[#This Row],[Gross_Sales]]*SALCE[[#This Row],[Discount_%]]/100</f>
        <v>60</v>
      </c>
      <c r="N757" s="10">
        <f>SALCE[[#This Row],[After_Discount]]+SALCE[[#This Row],[Tax_Value]]</f>
        <v>540.75599999999997</v>
      </c>
      <c r="O757" s="10">
        <f>SALCE[[#This Row],[Gross_Sales]]*70%</f>
        <v>420</v>
      </c>
      <c r="P757" s="10">
        <f>SALCE[[#This Row],[Net_Sales]]-SALCE[[#This Row],[Cost_Price]]</f>
        <v>120.75599999999997</v>
      </c>
      <c r="Q757" s="10">
        <f>SALCE[[#This Row],[Gross_Sales]]-SALCE[[#This Row],[Discount_Value]]</f>
        <v>540</v>
      </c>
      <c r="R757" s="15" t="s">
        <v>54</v>
      </c>
      <c r="S757" s="15" t="s">
        <v>37</v>
      </c>
      <c r="T757" s="15" t="s">
        <v>27</v>
      </c>
    </row>
    <row r="758" spans="1:20" s="12" customFormat="1" ht="30" customHeight="1" thickTop="1" thickBot="1" x14ac:dyDescent="0.4">
      <c r="A758" s="7">
        <v>1757</v>
      </c>
      <c r="B758" s="8">
        <v>45684</v>
      </c>
      <c r="C758" s="14" t="s">
        <v>28</v>
      </c>
      <c r="D758" s="14" t="s">
        <v>38</v>
      </c>
      <c r="E758" s="14" t="s">
        <v>40</v>
      </c>
      <c r="F758" s="14" t="s">
        <v>20</v>
      </c>
      <c r="G758" s="7">
        <v>6</v>
      </c>
      <c r="H758" s="7">
        <v>800</v>
      </c>
      <c r="I758" s="9">
        <v>15</v>
      </c>
      <c r="J758" s="10">
        <f>SALCE[[#This Row],[After_Discount]]*SALCE[[#This Row],[Tax_%]]/100</f>
        <v>5.7120000000000006</v>
      </c>
      <c r="K758" s="11">
        <v>0.14000000000000001</v>
      </c>
      <c r="L758" s="10">
        <f>SALCE[[#This Row],[Quantity]]*SALCE[[#This Row],[Unit_Price]]</f>
        <v>4800</v>
      </c>
      <c r="M758" s="10">
        <f>SALCE[[#This Row],[Gross_Sales]]*SALCE[[#This Row],[Discount_%]]/100</f>
        <v>720</v>
      </c>
      <c r="N758" s="10">
        <f>SALCE[[#This Row],[After_Discount]]+SALCE[[#This Row],[Tax_Value]]</f>
        <v>4085.712</v>
      </c>
      <c r="O758" s="10">
        <f>SALCE[[#This Row],[Gross_Sales]]*70%</f>
        <v>3360</v>
      </c>
      <c r="P758" s="10">
        <f>SALCE[[#This Row],[Net_Sales]]-SALCE[[#This Row],[Cost_Price]]</f>
        <v>725.71199999999999</v>
      </c>
      <c r="Q758" s="10">
        <f>SALCE[[#This Row],[Gross_Sales]]-SALCE[[#This Row],[Discount_Value]]</f>
        <v>4080</v>
      </c>
      <c r="R758" s="15" t="s">
        <v>50</v>
      </c>
      <c r="S758" s="15" t="s">
        <v>21</v>
      </c>
      <c r="T758" s="15" t="s">
        <v>27</v>
      </c>
    </row>
    <row r="759" spans="1:20" s="12" customFormat="1" ht="30" customHeight="1" thickTop="1" thickBot="1" x14ac:dyDescent="0.4">
      <c r="A759" s="7">
        <v>1758</v>
      </c>
      <c r="B759" s="8">
        <v>45685</v>
      </c>
      <c r="C759" s="14" t="s">
        <v>30</v>
      </c>
      <c r="D759" s="14" t="s">
        <v>36</v>
      </c>
      <c r="E759" s="14" t="s">
        <v>25</v>
      </c>
      <c r="F759" s="14" t="s">
        <v>20</v>
      </c>
      <c r="G759" s="7">
        <v>10</v>
      </c>
      <c r="H759" s="7">
        <v>500</v>
      </c>
      <c r="I759" s="9">
        <v>15</v>
      </c>
      <c r="J759" s="10">
        <f>SALCE[[#This Row],[After_Discount]]*SALCE[[#This Row],[Tax_%]]/100</f>
        <v>5.95</v>
      </c>
      <c r="K759" s="11">
        <v>0.14000000000000001</v>
      </c>
      <c r="L759" s="10">
        <f>SALCE[[#This Row],[Quantity]]*SALCE[[#This Row],[Unit_Price]]</f>
        <v>5000</v>
      </c>
      <c r="M759" s="10">
        <f>SALCE[[#This Row],[Gross_Sales]]*SALCE[[#This Row],[Discount_%]]/100</f>
        <v>750</v>
      </c>
      <c r="N759" s="10">
        <f>SALCE[[#This Row],[After_Discount]]+SALCE[[#This Row],[Tax_Value]]</f>
        <v>4255.95</v>
      </c>
      <c r="O759" s="10">
        <f>SALCE[[#This Row],[Gross_Sales]]*70%</f>
        <v>3500</v>
      </c>
      <c r="P759" s="10">
        <f>SALCE[[#This Row],[Net_Sales]]-SALCE[[#This Row],[Cost_Price]]</f>
        <v>755.94999999999982</v>
      </c>
      <c r="Q759" s="10">
        <f>SALCE[[#This Row],[Gross_Sales]]-SALCE[[#This Row],[Discount_Value]]</f>
        <v>4250</v>
      </c>
      <c r="R759" s="15" t="s">
        <v>50</v>
      </c>
      <c r="S759" s="15" t="s">
        <v>37</v>
      </c>
      <c r="T759" s="15" t="s">
        <v>22</v>
      </c>
    </row>
    <row r="760" spans="1:20" s="12" customFormat="1" ht="30" customHeight="1" thickTop="1" thickBot="1" x14ac:dyDescent="0.4">
      <c r="A760" s="7">
        <v>1759</v>
      </c>
      <c r="B760" s="8">
        <v>45686</v>
      </c>
      <c r="C760" s="14" t="s">
        <v>35</v>
      </c>
      <c r="D760" s="14" t="s">
        <v>18</v>
      </c>
      <c r="E760" s="14" t="s">
        <v>40</v>
      </c>
      <c r="F760" s="14" t="s">
        <v>20</v>
      </c>
      <c r="G760" s="7">
        <v>10</v>
      </c>
      <c r="H760" s="7">
        <v>800</v>
      </c>
      <c r="I760" s="9">
        <v>10</v>
      </c>
      <c r="J760" s="10">
        <f>SALCE[[#This Row],[After_Discount]]*SALCE[[#This Row],[Tax_%]]/100</f>
        <v>10.080000000000002</v>
      </c>
      <c r="K760" s="11">
        <v>0.14000000000000001</v>
      </c>
      <c r="L760" s="10">
        <f>SALCE[[#This Row],[Quantity]]*SALCE[[#This Row],[Unit_Price]]</f>
        <v>8000</v>
      </c>
      <c r="M760" s="10">
        <f>SALCE[[#This Row],[Gross_Sales]]*SALCE[[#This Row],[Discount_%]]/100</f>
        <v>800</v>
      </c>
      <c r="N760" s="10">
        <f>SALCE[[#This Row],[After_Discount]]+SALCE[[#This Row],[Tax_Value]]</f>
        <v>7210.08</v>
      </c>
      <c r="O760" s="10">
        <f>SALCE[[#This Row],[Gross_Sales]]*70%</f>
        <v>5600</v>
      </c>
      <c r="P760" s="10">
        <f>SALCE[[#This Row],[Net_Sales]]-SALCE[[#This Row],[Cost_Price]]</f>
        <v>1610.08</v>
      </c>
      <c r="Q760" s="10">
        <f>SALCE[[#This Row],[Gross_Sales]]-SALCE[[#This Row],[Discount_Value]]</f>
        <v>7200</v>
      </c>
      <c r="R760" s="15" t="s">
        <v>56</v>
      </c>
      <c r="S760" s="15" t="s">
        <v>21</v>
      </c>
      <c r="T760" s="15" t="s">
        <v>27</v>
      </c>
    </row>
    <row r="761" spans="1:20" s="12" customFormat="1" ht="30" customHeight="1" thickTop="1" thickBot="1" x14ac:dyDescent="0.4">
      <c r="A761" s="7">
        <v>1760</v>
      </c>
      <c r="B761" s="8">
        <v>45687</v>
      </c>
      <c r="C761" s="14" t="s">
        <v>28</v>
      </c>
      <c r="D761" s="14" t="s">
        <v>29</v>
      </c>
      <c r="E761" s="14" t="s">
        <v>40</v>
      </c>
      <c r="F761" s="14" t="s">
        <v>20</v>
      </c>
      <c r="G761" s="7">
        <v>7</v>
      </c>
      <c r="H761" s="7">
        <v>800</v>
      </c>
      <c r="I761" s="9">
        <v>5</v>
      </c>
      <c r="J761" s="10">
        <f>SALCE[[#This Row],[After_Discount]]*SALCE[[#This Row],[Tax_%]]/100</f>
        <v>7.4480000000000004</v>
      </c>
      <c r="K761" s="11">
        <v>0.14000000000000001</v>
      </c>
      <c r="L761" s="10">
        <f>SALCE[[#This Row],[Quantity]]*SALCE[[#This Row],[Unit_Price]]</f>
        <v>5600</v>
      </c>
      <c r="M761" s="10">
        <f>SALCE[[#This Row],[Gross_Sales]]*SALCE[[#This Row],[Discount_%]]/100</f>
        <v>280</v>
      </c>
      <c r="N761" s="10">
        <f>SALCE[[#This Row],[After_Discount]]+SALCE[[#This Row],[Tax_Value]]</f>
        <v>5327.4480000000003</v>
      </c>
      <c r="O761" s="10">
        <f>SALCE[[#This Row],[Gross_Sales]]*70%</f>
        <v>3919.9999999999995</v>
      </c>
      <c r="P761" s="10">
        <f>SALCE[[#This Row],[Net_Sales]]-SALCE[[#This Row],[Cost_Price]]</f>
        <v>1407.4480000000008</v>
      </c>
      <c r="Q761" s="10">
        <f>SALCE[[#This Row],[Gross_Sales]]-SALCE[[#This Row],[Discount_Value]]</f>
        <v>5320</v>
      </c>
      <c r="R761" s="15" t="s">
        <v>49</v>
      </c>
      <c r="S761" s="15" t="s">
        <v>37</v>
      </c>
      <c r="T761" s="15" t="s">
        <v>22</v>
      </c>
    </row>
    <row r="762" spans="1:20" s="12" customFormat="1" ht="30" customHeight="1" thickTop="1" thickBot="1" x14ac:dyDescent="0.4">
      <c r="A762" s="7">
        <v>1761</v>
      </c>
      <c r="B762" s="8">
        <v>45688</v>
      </c>
      <c r="C762" s="14" t="s">
        <v>23</v>
      </c>
      <c r="D762" s="14" t="s">
        <v>29</v>
      </c>
      <c r="E762" s="14" t="s">
        <v>34</v>
      </c>
      <c r="F762" s="14" t="s">
        <v>32</v>
      </c>
      <c r="G762" s="7">
        <v>10</v>
      </c>
      <c r="H762" s="7">
        <v>4000</v>
      </c>
      <c r="I762" s="9">
        <v>0</v>
      </c>
      <c r="J762" s="10">
        <f>SALCE[[#This Row],[After_Discount]]*SALCE[[#This Row],[Tax_%]]/100</f>
        <v>56.000000000000007</v>
      </c>
      <c r="K762" s="11">
        <v>0.14000000000000001</v>
      </c>
      <c r="L762" s="10">
        <f>SALCE[[#This Row],[Quantity]]*SALCE[[#This Row],[Unit_Price]]</f>
        <v>40000</v>
      </c>
      <c r="M762" s="10">
        <f>SALCE[[#This Row],[Gross_Sales]]*SALCE[[#This Row],[Discount_%]]/100</f>
        <v>0</v>
      </c>
      <c r="N762" s="10">
        <f>SALCE[[#This Row],[After_Discount]]+SALCE[[#This Row],[Tax_Value]]</f>
        <v>40056</v>
      </c>
      <c r="O762" s="10">
        <f>SALCE[[#This Row],[Gross_Sales]]*70%</f>
        <v>28000</v>
      </c>
      <c r="P762" s="10">
        <f>SALCE[[#This Row],[Net_Sales]]-SALCE[[#This Row],[Cost_Price]]</f>
        <v>12056</v>
      </c>
      <c r="Q762" s="10">
        <f>SALCE[[#This Row],[Gross_Sales]]-SALCE[[#This Row],[Discount_Value]]</f>
        <v>40000</v>
      </c>
      <c r="R762" s="15" t="s">
        <v>56</v>
      </c>
      <c r="S762" s="15" t="s">
        <v>21</v>
      </c>
      <c r="T762" s="15" t="s">
        <v>27</v>
      </c>
    </row>
    <row r="763" spans="1:20" s="12" customFormat="1" ht="30" customHeight="1" thickTop="1" thickBot="1" x14ac:dyDescent="0.4">
      <c r="A763" s="7">
        <v>1762</v>
      </c>
      <c r="B763" s="8">
        <v>45689</v>
      </c>
      <c r="C763" s="14" t="s">
        <v>28</v>
      </c>
      <c r="D763" s="14" t="s">
        <v>36</v>
      </c>
      <c r="E763" s="14" t="s">
        <v>40</v>
      </c>
      <c r="F763" s="14" t="s">
        <v>20</v>
      </c>
      <c r="G763" s="7">
        <v>8</v>
      </c>
      <c r="H763" s="7">
        <v>800</v>
      </c>
      <c r="I763" s="9">
        <v>15</v>
      </c>
      <c r="J763" s="10">
        <f>SALCE[[#This Row],[After_Discount]]*SALCE[[#This Row],[Tax_%]]/100</f>
        <v>7.6160000000000005</v>
      </c>
      <c r="K763" s="11">
        <v>0.14000000000000001</v>
      </c>
      <c r="L763" s="10">
        <f>SALCE[[#This Row],[Quantity]]*SALCE[[#This Row],[Unit_Price]]</f>
        <v>6400</v>
      </c>
      <c r="M763" s="10">
        <f>SALCE[[#This Row],[Gross_Sales]]*SALCE[[#This Row],[Discount_%]]/100</f>
        <v>960</v>
      </c>
      <c r="N763" s="10">
        <f>SALCE[[#This Row],[After_Discount]]+SALCE[[#This Row],[Tax_Value]]</f>
        <v>5447.616</v>
      </c>
      <c r="O763" s="10">
        <f>SALCE[[#This Row],[Gross_Sales]]*70%</f>
        <v>4480</v>
      </c>
      <c r="P763" s="10">
        <f>SALCE[[#This Row],[Net_Sales]]-SALCE[[#This Row],[Cost_Price]]</f>
        <v>967.61599999999999</v>
      </c>
      <c r="Q763" s="10">
        <f>SALCE[[#This Row],[Gross_Sales]]-SALCE[[#This Row],[Discount_Value]]</f>
        <v>5440</v>
      </c>
      <c r="R763" s="15" t="s">
        <v>53</v>
      </c>
      <c r="S763" s="15" t="s">
        <v>26</v>
      </c>
      <c r="T763" s="15" t="s">
        <v>22</v>
      </c>
    </row>
    <row r="764" spans="1:20" s="12" customFormat="1" ht="30" customHeight="1" thickTop="1" thickBot="1" x14ac:dyDescent="0.4">
      <c r="A764" s="7">
        <v>1763</v>
      </c>
      <c r="B764" s="8">
        <v>45690</v>
      </c>
      <c r="C764" s="14" t="s">
        <v>35</v>
      </c>
      <c r="D764" s="14" t="s">
        <v>41</v>
      </c>
      <c r="E764" s="14" t="s">
        <v>34</v>
      </c>
      <c r="F764" s="14" t="s">
        <v>32</v>
      </c>
      <c r="G764" s="7">
        <v>3</v>
      </c>
      <c r="H764" s="7">
        <v>4000</v>
      </c>
      <c r="I764" s="9">
        <v>5</v>
      </c>
      <c r="J764" s="10">
        <f>SALCE[[#This Row],[After_Discount]]*SALCE[[#This Row],[Tax_%]]/100</f>
        <v>15.960000000000003</v>
      </c>
      <c r="K764" s="11">
        <v>0.14000000000000001</v>
      </c>
      <c r="L764" s="10">
        <f>SALCE[[#This Row],[Quantity]]*SALCE[[#This Row],[Unit_Price]]</f>
        <v>12000</v>
      </c>
      <c r="M764" s="10">
        <f>SALCE[[#This Row],[Gross_Sales]]*SALCE[[#This Row],[Discount_%]]/100</f>
        <v>600</v>
      </c>
      <c r="N764" s="10">
        <f>SALCE[[#This Row],[After_Discount]]+SALCE[[#This Row],[Tax_Value]]</f>
        <v>11415.96</v>
      </c>
      <c r="O764" s="10">
        <f>SALCE[[#This Row],[Gross_Sales]]*70%</f>
        <v>8400</v>
      </c>
      <c r="P764" s="10">
        <f>SALCE[[#This Row],[Net_Sales]]-SALCE[[#This Row],[Cost_Price]]</f>
        <v>3015.9599999999991</v>
      </c>
      <c r="Q764" s="10">
        <f>SALCE[[#This Row],[Gross_Sales]]-SALCE[[#This Row],[Discount_Value]]</f>
        <v>11400</v>
      </c>
      <c r="R764" s="15" t="s">
        <v>58</v>
      </c>
      <c r="S764" s="15" t="s">
        <v>37</v>
      </c>
      <c r="T764" s="15" t="s">
        <v>22</v>
      </c>
    </row>
    <row r="765" spans="1:20" s="12" customFormat="1" ht="30" customHeight="1" thickTop="1" thickBot="1" x14ac:dyDescent="0.4">
      <c r="A765" s="7">
        <v>1764</v>
      </c>
      <c r="B765" s="8">
        <v>45691</v>
      </c>
      <c r="C765" s="14" t="s">
        <v>30</v>
      </c>
      <c r="D765" s="14" t="s">
        <v>41</v>
      </c>
      <c r="E765" s="14" t="s">
        <v>40</v>
      </c>
      <c r="F765" s="14" t="s">
        <v>20</v>
      </c>
      <c r="G765" s="7">
        <v>7</v>
      </c>
      <c r="H765" s="7">
        <v>800</v>
      </c>
      <c r="I765" s="9">
        <v>5</v>
      </c>
      <c r="J765" s="10">
        <f>SALCE[[#This Row],[After_Discount]]*SALCE[[#This Row],[Tax_%]]/100</f>
        <v>7.4480000000000004</v>
      </c>
      <c r="K765" s="11">
        <v>0.14000000000000001</v>
      </c>
      <c r="L765" s="10">
        <f>SALCE[[#This Row],[Quantity]]*SALCE[[#This Row],[Unit_Price]]</f>
        <v>5600</v>
      </c>
      <c r="M765" s="10">
        <f>SALCE[[#This Row],[Gross_Sales]]*SALCE[[#This Row],[Discount_%]]/100</f>
        <v>280</v>
      </c>
      <c r="N765" s="10">
        <f>SALCE[[#This Row],[After_Discount]]+SALCE[[#This Row],[Tax_Value]]</f>
        <v>5327.4480000000003</v>
      </c>
      <c r="O765" s="10">
        <f>SALCE[[#This Row],[Gross_Sales]]*70%</f>
        <v>3919.9999999999995</v>
      </c>
      <c r="P765" s="10">
        <f>SALCE[[#This Row],[Net_Sales]]-SALCE[[#This Row],[Cost_Price]]</f>
        <v>1407.4480000000008</v>
      </c>
      <c r="Q765" s="10">
        <f>SALCE[[#This Row],[Gross_Sales]]-SALCE[[#This Row],[Discount_Value]]</f>
        <v>5320</v>
      </c>
      <c r="R765" s="15" t="s">
        <v>54</v>
      </c>
      <c r="S765" s="15" t="s">
        <v>37</v>
      </c>
      <c r="T765" s="15" t="s">
        <v>27</v>
      </c>
    </row>
    <row r="766" spans="1:20" s="12" customFormat="1" ht="30" customHeight="1" thickTop="1" thickBot="1" x14ac:dyDescent="0.4">
      <c r="A766" s="7">
        <v>1765</v>
      </c>
      <c r="B766" s="8">
        <v>45692</v>
      </c>
      <c r="C766" s="14" t="s">
        <v>39</v>
      </c>
      <c r="D766" s="14" t="s">
        <v>24</v>
      </c>
      <c r="E766" s="14" t="s">
        <v>40</v>
      </c>
      <c r="F766" s="14" t="s">
        <v>20</v>
      </c>
      <c r="G766" s="7">
        <v>4</v>
      </c>
      <c r="H766" s="7">
        <v>800</v>
      </c>
      <c r="I766" s="9">
        <v>5</v>
      </c>
      <c r="J766" s="10">
        <f>SALCE[[#This Row],[After_Discount]]*SALCE[[#This Row],[Tax_%]]/100</f>
        <v>4.2560000000000002</v>
      </c>
      <c r="K766" s="11">
        <v>0.14000000000000001</v>
      </c>
      <c r="L766" s="10">
        <f>SALCE[[#This Row],[Quantity]]*SALCE[[#This Row],[Unit_Price]]</f>
        <v>3200</v>
      </c>
      <c r="M766" s="10">
        <f>SALCE[[#This Row],[Gross_Sales]]*SALCE[[#This Row],[Discount_%]]/100</f>
        <v>160</v>
      </c>
      <c r="N766" s="10">
        <f>SALCE[[#This Row],[After_Discount]]+SALCE[[#This Row],[Tax_Value]]</f>
        <v>3044.2559999999999</v>
      </c>
      <c r="O766" s="10">
        <f>SALCE[[#This Row],[Gross_Sales]]*70%</f>
        <v>2240</v>
      </c>
      <c r="P766" s="10">
        <f>SALCE[[#This Row],[Net_Sales]]-SALCE[[#This Row],[Cost_Price]]</f>
        <v>804.25599999999986</v>
      </c>
      <c r="Q766" s="10">
        <f>SALCE[[#This Row],[Gross_Sales]]-SALCE[[#This Row],[Discount_Value]]</f>
        <v>3040</v>
      </c>
      <c r="R766" s="15" t="s">
        <v>62</v>
      </c>
      <c r="S766" s="15" t="s">
        <v>21</v>
      </c>
      <c r="T766" s="15" t="s">
        <v>22</v>
      </c>
    </row>
    <row r="767" spans="1:20" s="12" customFormat="1" ht="30" customHeight="1" thickTop="1" thickBot="1" x14ac:dyDescent="0.4">
      <c r="A767" s="7">
        <v>1766</v>
      </c>
      <c r="B767" s="8">
        <v>45693</v>
      </c>
      <c r="C767" s="14" t="s">
        <v>28</v>
      </c>
      <c r="D767" s="14" t="s">
        <v>29</v>
      </c>
      <c r="E767" s="14" t="s">
        <v>34</v>
      </c>
      <c r="F767" s="14" t="s">
        <v>32</v>
      </c>
      <c r="G767" s="7">
        <v>7</v>
      </c>
      <c r="H767" s="7">
        <v>4000</v>
      </c>
      <c r="I767" s="9">
        <v>5</v>
      </c>
      <c r="J767" s="10">
        <f>SALCE[[#This Row],[After_Discount]]*SALCE[[#This Row],[Tax_%]]/100</f>
        <v>37.24</v>
      </c>
      <c r="K767" s="11">
        <v>0.14000000000000001</v>
      </c>
      <c r="L767" s="10">
        <f>SALCE[[#This Row],[Quantity]]*SALCE[[#This Row],[Unit_Price]]</f>
        <v>28000</v>
      </c>
      <c r="M767" s="10">
        <f>SALCE[[#This Row],[Gross_Sales]]*SALCE[[#This Row],[Discount_%]]/100</f>
        <v>1400</v>
      </c>
      <c r="N767" s="10">
        <f>SALCE[[#This Row],[After_Discount]]+SALCE[[#This Row],[Tax_Value]]</f>
        <v>26637.24</v>
      </c>
      <c r="O767" s="10">
        <f>SALCE[[#This Row],[Gross_Sales]]*70%</f>
        <v>19600</v>
      </c>
      <c r="P767" s="10">
        <f>SALCE[[#This Row],[Net_Sales]]-SALCE[[#This Row],[Cost_Price]]</f>
        <v>7037.2400000000016</v>
      </c>
      <c r="Q767" s="10">
        <f>SALCE[[#This Row],[Gross_Sales]]-SALCE[[#This Row],[Discount_Value]]</f>
        <v>26600</v>
      </c>
      <c r="R767" s="15" t="s">
        <v>57</v>
      </c>
      <c r="S767" s="15" t="s">
        <v>21</v>
      </c>
      <c r="T767" s="15" t="s">
        <v>27</v>
      </c>
    </row>
    <row r="768" spans="1:20" s="12" customFormat="1" ht="30" customHeight="1" thickTop="1" thickBot="1" x14ac:dyDescent="0.4">
      <c r="A768" s="7">
        <v>1767</v>
      </c>
      <c r="B768" s="8">
        <v>45694</v>
      </c>
      <c r="C768" s="14" t="s">
        <v>39</v>
      </c>
      <c r="D768" s="14" t="s">
        <v>38</v>
      </c>
      <c r="E768" s="14" t="s">
        <v>34</v>
      </c>
      <c r="F768" s="14" t="s">
        <v>32</v>
      </c>
      <c r="G768" s="7">
        <v>1</v>
      </c>
      <c r="H768" s="7">
        <v>4000</v>
      </c>
      <c r="I768" s="9">
        <v>5</v>
      </c>
      <c r="J768" s="10">
        <f>SALCE[[#This Row],[After_Discount]]*SALCE[[#This Row],[Tax_%]]/100</f>
        <v>5.32</v>
      </c>
      <c r="K768" s="11">
        <v>0.14000000000000001</v>
      </c>
      <c r="L768" s="10">
        <f>SALCE[[#This Row],[Quantity]]*SALCE[[#This Row],[Unit_Price]]</f>
        <v>4000</v>
      </c>
      <c r="M768" s="10">
        <f>SALCE[[#This Row],[Gross_Sales]]*SALCE[[#This Row],[Discount_%]]/100</f>
        <v>200</v>
      </c>
      <c r="N768" s="10">
        <f>SALCE[[#This Row],[After_Discount]]+SALCE[[#This Row],[Tax_Value]]</f>
        <v>3805.32</v>
      </c>
      <c r="O768" s="10">
        <f>SALCE[[#This Row],[Gross_Sales]]*70%</f>
        <v>2800</v>
      </c>
      <c r="P768" s="10">
        <f>SALCE[[#This Row],[Net_Sales]]-SALCE[[#This Row],[Cost_Price]]</f>
        <v>1005.3200000000002</v>
      </c>
      <c r="Q768" s="10">
        <f>SALCE[[#This Row],[Gross_Sales]]-SALCE[[#This Row],[Discount_Value]]</f>
        <v>3800</v>
      </c>
      <c r="R768" s="15" t="s">
        <v>60</v>
      </c>
      <c r="S768" s="15" t="s">
        <v>37</v>
      </c>
      <c r="T768" s="15" t="s">
        <v>22</v>
      </c>
    </row>
    <row r="769" spans="1:20" s="12" customFormat="1" ht="30" customHeight="1" thickTop="1" thickBot="1" x14ac:dyDescent="0.4">
      <c r="A769" s="7">
        <v>1768</v>
      </c>
      <c r="B769" s="8">
        <v>45695</v>
      </c>
      <c r="C769" s="14" t="s">
        <v>23</v>
      </c>
      <c r="D769" s="14" t="s">
        <v>24</v>
      </c>
      <c r="E769" s="14" t="s">
        <v>34</v>
      </c>
      <c r="F769" s="14" t="s">
        <v>32</v>
      </c>
      <c r="G769" s="7">
        <v>3</v>
      </c>
      <c r="H769" s="7">
        <v>4000</v>
      </c>
      <c r="I769" s="9">
        <v>15</v>
      </c>
      <c r="J769" s="10">
        <f>SALCE[[#This Row],[After_Discount]]*SALCE[[#This Row],[Tax_%]]/100</f>
        <v>14.280000000000003</v>
      </c>
      <c r="K769" s="11">
        <v>0.14000000000000001</v>
      </c>
      <c r="L769" s="10">
        <f>SALCE[[#This Row],[Quantity]]*SALCE[[#This Row],[Unit_Price]]</f>
        <v>12000</v>
      </c>
      <c r="M769" s="10">
        <f>SALCE[[#This Row],[Gross_Sales]]*SALCE[[#This Row],[Discount_%]]/100</f>
        <v>1800</v>
      </c>
      <c r="N769" s="10">
        <f>SALCE[[#This Row],[After_Discount]]+SALCE[[#This Row],[Tax_Value]]</f>
        <v>10214.280000000001</v>
      </c>
      <c r="O769" s="10">
        <f>SALCE[[#This Row],[Gross_Sales]]*70%</f>
        <v>8400</v>
      </c>
      <c r="P769" s="10">
        <f>SALCE[[#This Row],[Net_Sales]]-SALCE[[#This Row],[Cost_Price]]</f>
        <v>1814.2800000000007</v>
      </c>
      <c r="Q769" s="10">
        <f>SALCE[[#This Row],[Gross_Sales]]-SALCE[[#This Row],[Discount_Value]]</f>
        <v>10200</v>
      </c>
      <c r="R769" s="15" t="s">
        <v>50</v>
      </c>
      <c r="S769" s="15" t="s">
        <v>37</v>
      </c>
      <c r="T769" s="15" t="s">
        <v>22</v>
      </c>
    </row>
    <row r="770" spans="1:20" s="12" customFormat="1" ht="30" customHeight="1" thickTop="1" thickBot="1" x14ac:dyDescent="0.4">
      <c r="A770" s="7">
        <v>1769</v>
      </c>
      <c r="B770" s="8">
        <v>45696</v>
      </c>
      <c r="C770" s="14" t="s">
        <v>23</v>
      </c>
      <c r="D770" s="14" t="s">
        <v>36</v>
      </c>
      <c r="E770" s="14" t="s">
        <v>34</v>
      </c>
      <c r="F770" s="14" t="s">
        <v>32</v>
      </c>
      <c r="G770" s="7">
        <v>3</v>
      </c>
      <c r="H770" s="7">
        <v>4000</v>
      </c>
      <c r="I770" s="9">
        <v>5</v>
      </c>
      <c r="J770" s="10">
        <f>SALCE[[#This Row],[After_Discount]]*SALCE[[#This Row],[Tax_%]]/100</f>
        <v>15.960000000000003</v>
      </c>
      <c r="K770" s="11">
        <v>0.14000000000000001</v>
      </c>
      <c r="L770" s="10">
        <f>SALCE[[#This Row],[Quantity]]*SALCE[[#This Row],[Unit_Price]]</f>
        <v>12000</v>
      </c>
      <c r="M770" s="10">
        <f>SALCE[[#This Row],[Gross_Sales]]*SALCE[[#This Row],[Discount_%]]/100</f>
        <v>600</v>
      </c>
      <c r="N770" s="10">
        <f>SALCE[[#This Row],[After_Discount]]+SALCE[[#This Row],[Tax_Value]]</f>
        <v>11415.96</v>
      </c>
      <c r="O770" s="10">
        <f>SALCE[[#This Row],[Gross_Sales]]*70%</f>
        <v>8400</v>
      </c>
      <c r="P770" s="10">
        <f>SALCE[[#This Row],[Net_Sales]]-SALCE[[#This Row],[Cost_Price]]</f>
        <v>3015.9599999999991</v>
      </c>
      <c r="Q770" s="10">
        <f>SALCE[[#This Row],[Gross_Sales]]-SALCE[[#This Row],[Discount_Value]]</f>
        <v>11400</v>
      </c>
      <c r="R770" s="15" t="s">
        <v>58</v>
      </c>
      <c r="S770" s="15" t="s">
        <v>26</v>
      </c>
      <c r="T770" s="15" t="s">
        <v>22</v>
      </c>
    </row>
    <row r="771" spans="1:20" s="12" customFormat="1" ht="30" customHeight="1" thickTop="1" thickBot="1" x14ac:dyDescent="0.4">
      <c r="A771" s="7">
        <v>1770</v>
      </c>
      <c r="B771" s="8">
        <v>45697</v>
      </c>
      <c r="C771" s="14" t="s">
        <v>30</v>
      </c>
      <c r="D771" s="14" t="s">
        <v>41</v>
      </c>
      <c r="E771" s="14" t="s">
        <v>40</v>
      </c>
      <c r="F771" s="14" t="s">
        <v>20</v>
      </c>
      <c r="G771" s="7">
        <v>1</v>
      </c>
      <c r="H771" s="7">
        <v>800</v>
      </c>
      <c r="I771" s="9">
        <v>5</v>
      </c>
      <c r="J771" s="10">
        <f>SALCE[[#This Row],[After_Discount]]*SALCE[[#This Row],[Tax_%]]/100</f>
        <v>1.0640000000000001</v>
      </c>
      <c r="K771" s="11">
        <v>0.14000000000000001</v>
      </c>
      <c r="L771" s="10">
        <f>SALCE[[#This Row],[Quantity]]*SALCE[[#This Row],[Unit_Price]]</f>
        <v>800</v>
      </c>
      <c r="M771" s="10">
        <f>SALCE[[#This Row],[Gross_Sales]]*SALCE[[#This Row],[Discount_%]]/100</f>
        <v>40</v>
      </c>
      <c r="N771" s="10">
        <f>SALCE[[#This Row],[After_Discount]]+SALCE[[#This Row],[Tax_Value]]</f>
        <v>761.06399999999996</v>
      </c>
      <c r="O771" s="10">
        <f>SALCE[[#This Row],[Gross_Sales]]*70%</f>
        <v>560</v>
      </c>
      <c r="P771" s="10">
        <f>SALCE[[#This Row],[Net_Sales]]-SALCE[[#This Row],[Cost_Price]]</f>
        <v>201.06399999999996</v>
      </c>
      <c r="Q771" s="10">
        <f>SALCE[[#This Row],[Gross_Sales]]-SALCE[[#This Row],[Discount_Value]]</f>
        <v>760</v>
      </c>
      <c r="R771" s="15" t="s">
        <v>50</v>
      </c>
      <c r="S771" s="15" t="s">
        <v>21</v>
      </c>
      <c r="T771" s="15" t="s">
        <v>27</v>
      </c>
    </row>
    <row r="772" spans="1:20" s="12" customFormat="1" ht="30" customHeight="1" thickTop="1" thickBot="1" x14ac:dyDescent="0.4">
      <c r="A772" s="7">
        <v>1771</v>
      </c>
      <c r="B772" s="8">
        <v>45698</v>
      </c>
      <c r="C772" s="14" t="s">
        <v>23</v>
      </c>
      <c r="D772" s="14" t="s">
        <v>38</v>
      </c>
      <c r="E772" s="14" t="s">
        <v>33</v>
      </c>
      <c r="F772" s="14" t="s">
        <v>32</v>
      </c>
      <c r="G772" s="7">
        <v>1</v>
      </c>
      <c r="H772" s="7">
        <v>6000</v>
      </c>
      <c r="I772" s="9">
        <v>15</v>
      </c>
      <c r="J772" s="10">
        <f>SALCE[[#This Row],[After_Discount]]*SALCE[[#This Row],[Tax_%]]/100</f>
        <v>7.1400000000000015</v>
      </c>
      <c r="K772" s="11">
        <v>0.14000000000000001</v>
      </c>
      <c r="L772" s="10">
        <f>SALCE[[#This Row],[Quantity]]*SALCE[[#This Row],[Unit_Price]]</f>
        <v>6000</v>
      </c>
      <c r="M772" s="10">
        <f>SALCE[[#This Row],[Gross_Sales]]*SALCE[[#This Row],[Discount_%]]/100</f>
        <v>900</v>
      </c>
      <c r="N772" s="10">
        <f>SALCE[[#This Row],[After_Discount]]+SALCE[[#This Row],[Tax_Value]]</f>
        <v>5107.1400000000003</v>
      </c>
      <c r="O772" s="10">
        <f>SALCE[[#This Row],[Gross_Sales]]*70%</f>
        <v>4200</v>
      </c>
      <c r="P772" s="10">
        <f>SALCE[[#This Row],[Net_Sales]]-SALCE[[#This Row],[Cost_Price]]</f>
        <v>907.14000000000033</v>
      </c>
      <c r="Q772" s="10">
        <f>SALCE[[#This Row],[Gross_Sales]]-SALCE[[#This Row],[Discount_Value]]</f>
        <v>5100</v>
      </c>
      <c r="R772" s="15" t="s">
        <v>54</v>
      </c>
      <c r="S772" s="15" t="s">
        <v>21</v>
      </c>
      <c r="T772" s="15" t="s">
        <v>27</v>
      </c>
    </row>
    <row r="773" spans="1:20" s="12" customFormat="1" ht="30" customHeight="1" thickTop="1" thickBot="1" x14ac:dyDescent="0.4">
      <c r="A773" s="7">
        <v>1772</v>
      </c>
      <c r="B773" s="8">
        <v>45699</v>
      </c>
      <c r="C773" s="14" t="s">
        <v>23</v>
      </c>
      <c r="D773" s="14" t="s">
        <v>36</v>
      </c>
      <c r="E773" s="14" t="s">
        <v>19</v>
      </c>
      <c r="F773" s="14" t="s">
        <v>20</v>
      </c>
      <c r="G773" s="7">
        <v>7</v>
      </c>
      <c r="H773" s="7">
        <v>300</v>
      </c>
      <c r="I773" s="9">
        <v>0</v>
      </c>
      <c r="J773" s="10">
        <f>SALCE[[#This Row],[After_Discount]]*SALCE[[#This Row],[Tax_%]]/100</f>
        <v>2.94</v>
      </c>
      <c r="K773" s="11">
        <v>0.14000000000000001</v>
      </c>
      <c r="L773" s="10">
        <f>SALCE[[#This Row],[Quantity]]*SALCE[[#This Row],[Unit_Price]]</f>
        <v>2100</v>
      </c>
      <c r="M773" s="10">
        <f>SALCE[[#This Row],[Gross_Sales]]*SALCE[[#This Row],[Discount_%]]/100</f>
        <v>0</v>
      </c>
      <c r="N773" s="10">
        <f>SALCE[[#This Row],[After_Discount]]+SALCE[[#This Row],[Tax_Value]]</f>
        <v>2102.94</v>
      </c>
      <c r="O773" s="10">
        <f>SALCE[[#This Row],[Gross_Sales]]*70%</f>
        <v>1470</v>
      </c>
      <c r="P773" s="10">
        <f>SALCE[[#This Row],[Net_Sales]]-SALCE[[#This Row],[Cost_Price]]</f>
        <v>632.94000000000005</v>
      </c>
      <c r="Q773" s="10">
        <f>SALCE[[#This Row],[Gross_Sales]]-SALCE[[#This Row],[Discount_Value]]</f>
        <v>2100</v>
      </c>
      <c r="R773" s="15" t="s">
        <v>47</v>
      </c>
      <c r="S773" s="15" t="s">
        <v>21</v>
      </c>
      <c r="T773" s="15" t="s">
        <v>22</v>
      </c>
    </row>
    <row r="774" spans="1:20" s="12" customFormat="1" ht="30" customHeight="1" thickTop="1" thickBot="1" x14ac:dyDescent="0.4">
      <c r="A774" s="7">
        <v>1773</v>
      </c>
      <c r="B774" s="8">
        <v>45700</v>
      </c>
      <c r="C774" s="14" t="s">
        <v>35</v>
      </c>
      <c r="D774" s="14" t="s">
        <v>24</v>
      </c>
      <c r="E774" s="14" t="s">
        <v>31</v>
      </c>
      <c r="F774" s="14" t="s">
        <v>32</v>
      </c>
      <c r="G774" s="7">
        <v>7</v>
      </c>
      <c r="H774" s="7">
        <v>15000</v>
      </c>
      <c r="I774" s="9">
        <v>10</v>
      </c>
      <c r="J774" s="10">
        <f>SALCE[[#This Row],[After_Discount]]*SALCE[[#This Row],[Tax_%]]/100</f>
        <v>132.30000000000001</v>
      </c>
      <c r="K774" s="11">
        <v>0.14000000000000001</v>
      </c>
      <c r="L774" s="10">
        <f>SALCE[[#This Row],[Quantity]]*SALCE[[#This Row],[Unit_Price]]</f>
        <v>105000</v>
      </c>
      <c r="M774" s="10">
        <f>SALCE[[#This Row],[Gross_Sales]]*SALCE[[#This Row],[Discount_%]]/100</f>
        <v>10500</v>
      </c>
      <c r="N774" s="10">
        <f>SALCE[[#This Row],[After_Discount]]+SALCE[[#This Row],[Tax_Value]]</f>
        <v>94632.3</v>
      </c>
      <c r="O774" s="10">
        <f>SALCE[[#This Row],[Gross_Sales]]*70%</f>
        <v>73500</v>
      </c>
      <c r="P774" s="10">
        <f>SALCE[[#This Row],[Net_Sales]]-SALCE[[#This Row],[Cost_Price]]</f>
        <v>21132.300000000003</v>
      </c>
      <c r="Q774" s="10">
        <f>SALCE[[#This Row],[Gross_Sales]]-SALCE[[#This Row],[Discount_Value]]</f>
        <v>94500</v>
      </c>
      <c r="R774" s="15" t="s">
        <v>51</v>
      </c>
      <c r="S774" s="15" t="s">
        <v>26</v>
      </c>
      <c r="T774" s="15" t="s">
        <v>27</v>
      </c>
    </row>
    <row r="775" spans="1:20" s="12" customFormat="1" ht="30" customHeight="1" thickTop="1" thickBot="1" x14ac:dyDescent="0.4">
      <c r="A775" s="7">
        <v>1774</v>
      </c>
      <c r="B775" s="8">
        <v>45701</v>
      </c>
      <c r="C775" s="14" t="s">
        <v>28</v>
      </c>
      <c r="D775" s="14" t="s">
        <v>18</v>
      </c>
      <c r="E775" s="14" t="s">
        <v>25</v>
      </c>
      <c r="F775" s="14" t="s">
        <v>20</v>
      </c>
      <c r="G775" s="7">
        <v>8</v>
      </c>
      <c r="H775" s="7">
        <v>500</v>
      </c>
      <c r="I775" s="9">
        <v>10</v>
      </c>
      <c r="J775" s="10">
        <f>SALCE[[#This Row],[After_Discount]]*SALCE[[#This Row],[Tax_%]]/100</f>
        <v>5.0400000000000009</v>
      </c>
      <c r="K775" s="11">
        <v>0.14000000000000001</v>
      </c>
      <c r="L775" s="10">
        <f>SALCE[[#This Row],[Quantity]]*SALCE[[#This Row],[Unit_Price]]</f>
        <v>4000</v>
      </c>
      <c r="M775" s="10">
        <f>SALCE[[#This Row],[Gross_Sales]]*SALCE[[#This Row],[Discount_%]]/100</f>
        <v>400</v>
      </c>
      <c r="N775" s="10">
        <f>SALCE[[#This Row],[After_Discount]]+SALCE[[#This Row],[Tax_Value]]</f>
        <v>3605.04</v>
      </c>
      <c r="O775" s="10">
        <f>SALCE[[#This Row],[Gross_Sales]]*70%</f>
        <v>2800</v>
      </c>
      <c r="P775" s="10">
        <f>SALCE[[#This Row],[Net_Sales]]-SALCE[[#This Row],[Cost_Price]]</f>
        <v>805.04</v>
      </c>
      <c r="Q775" s="10">
        <f>SALCE[[#This Row],[Gross_Sales]]-SALCE[[#This Row],[Discount_Value]]</f>
        <v>3600</v>
      </c>
      <c r="R775" s="15" t="s">
        <v>47</v>
      </c>
      <c r="S775" s="15" t="s">
        <v>37</v>
      </c>
      <c r="T775" s="15" t="s">
        <v>22</v>
      </c>
    </row>
    <row r="776" spans="1:20" s="12" customFormat="1" ht="30" customHeight="1" thickTop="1" thickBot="1" x14ac:dyDescent="0.4">
      <c r="A776" s="7">
        <v>1775</v>
      </c>
      <c r="B776" s="8">
        <v>45702</v>
      </c>
      <c r="C776" s="14" t="s">
        <v>35</v>
      </c>
      <c r="D776" s="14" t="s">
        <v>24</v>
      </c>
      <c r="E776" s="14" t="s">
        <v>31</v>
      </c>
      <c r="F776" s="14" t="s">
        <v>32</v>
      </c>
      <c r="G776" s="7">
        <v>3</v>
      </c>
      <c r="H776" s="7">
        <v>15000</v>
      </c>
      <c r="I776" s="9">
        <v>15</v>
      </c>
      <c r="J776" s="10">
        <f>SALCE[[#This Row],[After_Discount]]*SALCE[[#This Row],[Tax_%]]/100</f>
        <v>53.550000000000011</v>
      </c>
      <c r="K776" s="11">
        <v>0.14000000000000001</v>
      </c>
      <c r="L776" s="10">
        <f>SALCE[[#This Row],[Quantity]]*SALCE[[#This Row],[Unit_Price]]</f>
        <v>45000</v>
      </c>
      <c r="M776" s="10">
        <f>SALCE[[#This Row],[Gross_Sales]]*SALCE[[#This Row],[Discount_%]]/100</f>
        <v>6750</v>
      </c>
      <c r="N776" s="10">
        <f>SALCE[[#This Row],[After_Discount]]+SALCE[[#This Row],[Tax_Value]]</f>
        <v>38303.550000000003</v>
      </c>
      <c r="O776" s="10">
        <f>SALCE[[#This Row],[Gross_Sales]]*70%</f>
        <v>31499.999999999996</v>
      </c>
      <c r="P776" s="10">
        <f>SALCE[[#This Row],[Net_Sales]]-SALCE[[#This Row],[Cost_Price]]</f>
        <v>6803.5500000000065</v>
      </c>
      <c r="Q776" s="10">
        <f>SALCE[[#This Row],[Gross_Sales]]-SALCE[[#This Row],[Discount_Value]]</f>
        <v>38250</v>
      </c>
      <c r="R776" s="15" t="s">
        <v>49</v>
      </c>
      <c r="S776" s="15" t="s">
        <v>26</v>
      </c>
      <c r="T776" s="15" t="s">
        <v>22</v>
      </c>
    </row>
    <row r="777" spans="1:20" s="12" customFormat="1" ht="30" customHeight="1" thickTop="1" thickBot="1" x14ac:dyDescent="0.4">
      <c r="A777" s="7">
        <v>1776</v>
      </c>
      <c r="B777" s="8">
        <v>45703</v>
      </c>
      <c r="C777" s="14" t="s">
        <v>39</v>
      </c>
      <c r="D777" s="14" t="s">
        <v>41</v>
      </c>
      <c r="E777" s="14" t="s">
        <v>34</v>
      </c>
      <c r="F777" s="14" t="s">
        <v>32</v>
      </c>
      <c r="G777" s="7">
        <v>6</v>
      </c>
      <c r="H777" s="7">
        <v>4000</v>
      </c>
      <c r="I777" s="9">
        <v>0</v>
      </c>
      <c r="J777" s="10">
        <f>SALCE[[#This Row],[After_Discount]]*SALCE[[#This Row],[Tax_%]]/100</f>
        <v>33.6</v>
      </c>
      <c r="K777" s="11">
        <v>0.14000000000000001</v>
      </c>
      <c r="L777" s="10">
        <f>SALCE[[#This Row],[Quantity]]*SALCE[[#This Row],[Unit_Price]]</f>
        <v>24000</v>
      </c>
      <c r="M777" s="10">
        <f>SALCE[[#This Row],[Gross_Sales]]*SALCE[[#This Row],[Discount_%]]/100</f>
        <v>0</v>
      </c>
      <c r="N777" s="10">
        <f>SALCE[[#This Row],[After_Discount]]+SALCE[[#This Row],[Tax_Value]]</f>
        <v>24033.599999999999</v>
      </c>
      <c r="O777" s="10">
        <f>SALCE[[#This Row],[Gross_Sales]]*70%</f>
        <v>16800</v>
      </c>
      <c r="P777" s="10">
        <f>SALCE[[#This Row],[Net_Sales]]-SALCE[[#This Row],[Cost_Price]]</f>
        <v>7233.5999999999985</v>
      </c>
      <c r="Q777" s="10">
        <f>SALCE[[#This Row],[Gross_Sales]]-SALCE[[#This Row],[Discount_Value]]</f>
        <v>24000</v>
      </c>
      <c r="R777" s="15" t="s">
        <v>57</v>
      </c>
      <c r="S777" s="15" t="s">
        <v>37</v>
      </c>
      <c r="T777" s="15" t="s">
        <v>27</v>
      </c>
    </row>
    <row r="778" spans="1:20" s="12" customFormat="1" ht="30" customHeight="1" thickTop="1" thickBot="1" x14ac:dyDescent="0.4">
      <c r="A778" s="7">
        <v>1777</v>
      </c>
      <c r="B778" s="8">
        <v>45704</v>
      </c>
      <c r="C778" s="14" t="s">
        <v>30</v>
      </c>
      <c r="D778" s="14" t="s">
        <v>38</v>
      </c>
      <c r="E778" s="14" t="s">
        <v>33</v>
      </c>
      <c r="F778" s="14" t="s">
        <v>32</v>
      </c>
      <c r="G778" s="7">
        <v>2</v>
      </c>
      <c r="H778" s="7">
        <v>6000</v>
      </c>
      <c r="I778" s="9">
        <v>10</v>
      </c>
      <c r="J778" s="10">
        <f>SALCE[[#This Row],[After_Discount]]*SALCE[[#This Row],[Tax_%]]/100</f>
        <v>15.120000000000003</v>
      </c>
      <c r="K778" s="11">
        <v>0.14000000000000001</v>
      </c>
      <c r="L778" s="10">
        <f>SALCE[[#This Row],[Quantity]]*SALCE[[#This Row],[Unit_Price]]</f>
        <v>12000</v>
      </c>
      <c r="M778" s="10">
        <f>SALCE[[#This Row],[Gross_Sales]]*SALCE[[#This Row],[Discount_%]]/100</f>
        <v>1200</v>
      </c>
      <c r="N778" s="10">
        <f>SALCE[[#This Row],[After_Discount]]+SALCE[[#This Row],[Tax_Value]]</f>
        <v>10815.12</v>
      </c>
      <c r="O778" s="10">
        <f>SALCE[[#This Row],[Gross_Sales]]*70%</f>
        <v>8400</v>
      </c>
      <c r="P778" s="10">
        <f>SALCE[[#This Row],[Net_Sales]]-SALCE[[#This Row],[Cost_Price]]</f>
        <v>2415.1200000000008</v>
      </c>
      <c r="Q778" s="10">
        <f>SALCE[[#This Row],[Gross_Sales]]-SALCE[[#This Row],[Discount_Value]]</f>
        <v>10800</v>
      </c>
      <c r="R778" s="15" t="s">
        <v>57</v>
      </c>
      <c r="S778" s="15" t="s">
        <v>26</v>
      </c>
      <c r="T778" s="15" t="s">
        <v>22</v>
      </c>
    </row>
    <row r="779" spans="1:20" s="12" customFormat="1" ht="30" customHeight="1" thickTop="1" thickBot="1" x14ac:dyDescent="0.4">
      <c r="A779" s="7">
        <v>1778</v>
      </c>
      <c r="B779" s="8">
        <v>45705</v>
      </c>
      <c r="C779" s="14" t="s">
        <v>35</v>
      </c>
      <c r="D779" s="14" t="s">
        <v>29</v>
      </c>
      <c r="E779" s="14" t="s">
        <v>19</v>
      </c>
      <c r="F779" s="14" t="s">
        <v>20</v>
      </c>
      <c r="G779" s="7">
        <v>4</v>
      </c>
      <c r="H779" s="7">
        <v>300</v>
      </c>
      <c r="I779" s="9">
        <v>15</v>
      </c>
      <c r="J779" s="10">
        <f>SALCE[[#This Row],[After_Discount]]*SALCE[[#This Row],[Tax_%]]/100</f>
        <v>1.4280000000000002</v>
      </c>
      <c r="K779" s="11">
        <v>0.14000000000000001</v>
      </c>
      <c r="L779" s="10">
        <f>SALCE[[#This Row],[Quantity]]*SALCE[[#This Row],[Unit_Price]]</f>
        <v>1200</v>
      </c>
      <c r="M779" s="10">
        <f>SALCE[[#This Row],[Gross_Sales]]*SALCE[[#This Row],[Discount_%]]/100</f>
        <v>180</v>
      </c>
      <c r="N779" s="10">
        <f>SALCE[[#This Row],[After_Discount]]+SALCE[[#This Row],[Tax_Value]]</f>
        <v>1021.428</v>
      </c>
      <c r="O779" s="10">
        <f>SALCE[[#This Row],[Gross_Sales]]*70%</f>
        <v>840</v>
      </c>
      <c r="P779" s="10">
        <f>SALCE[[#This Row],[Net_Sales]]-SALCE[[#This Row],[Cost_Price]]</f>
        <v>181.428</v>
      </c>
      <c r="Q779" s="10">
        <f>SALCE[[#This Row],[Gross_Sales]]-SALCE[[#This Row],[Discount_Value]]</f>
        <v>1020</v>
      </c>
      <c r="R779" s="15" t="s">
        <v>57</v>
      </c>
      <c r="S779" s="15" t="s">
        <v>21</v>
      </c>
      <c r="T779" s="15" t="s">
        <v>22</v>
      </c>
    </row>
    <row r="780" spans="1:20" s="12" customFormat="1" ht="30" customHeight="1" thickTop="1" thickBot="1" x14ac:dyDescent="0.4">
      <c r="A780" s="7">
        <v>1779</v>
      </c>
      <c r="B780" s="8">
        <v>45706</v>
      </c>
      <c r="C780" s="14" t="s">
        <v>28</v>
      </c>
      <c r="D780" s="14" t="s">
        <v>24</v>
      </c>
      <c r="E780" s="14" t="s">
        <v>34</v>
      </c>
      <c r="F780" s="14" t="s">
        <v>32</v>
      </c>
      <c r="G780" s="7">
        <v>7</v>
      </c>
      <c r="H780" s="7">
        <v>4000</v>
      </c>
      <c r="I780" s="9">
        <v>0</v>
      </c>
      <c r="J780" s="10">
        <f>SALCE[[#This Row],[After_Discount]]*SALCE[[#This Row],[Tax_%]]/100</f>
        <v>39.200000000000003</v>
      </c>
      <c r="K780" s="11">
        <v>0.14000000000000001</v>
      </c>
      <c r="L780" s="10">
        <f>SALCE[[#This Row],[Quantity]]*SALCE[[#This Row],[Unit_Price]]</f>
        <v>28000</v>
      </c>
      <c r="M780" s="10">
        <f>SALCE[[#This Row],[Gross_Sales]]*SALCE[[#This Row],[Discount_%]]/100</f>
        <v>0</v>
      </c>
      <c r="N780" s="10">
        <f>SALCE[[#This Row],[After_Discount]]+SALCE[[#This Row],[Tax_Value]]</f>
        <v>28039.200000000001</v>
      </c>
      <c r="O780" s="10">
        <f>SALCE[[#This Row],[Gross_Sales]]*70%</f>
        <v>19600</v>
      </c>
      <c r="P780" s="10">
        <f>SALCE[[#This Row],[Net_Sales]]-SALCE[[#This Row],[Cost_Price]]</f>
        <v>8439.2000000000007</v>
      </c>
      <c r="Q780" s="10">
        <f>SALCE[[#This Row],[Gross_Sales]]-SALCE[[#This Row],[Discount_Value]]</f>
        <v>28000</v>
      </c>
      <c r="R780" s="15" t="s">
        <v>58</v>
      </c>
      <c r="S780" s="15" t="s">
        <v>26</v>
      </c>
      <c r="T780" s="15" t="s">
        <v>27</v>
      </c>
    </row>
    <row r="781" spans="1:20" s="12" customFormat="1" ht="30" customHeight="1" thickTop="1" thickBot="1" x14ac:dyDescent="0.4">
      <c r="A781" s="7">
        <v>1780</v>
      </c>
      <c r="B781" s="8">
        <v>45707</v>
      </c>
      <c r="C781" s="14" t="s">
        <v>35</v>
      </c>
      <c r="D781" s="14" t="s">
        <v>36</v>
      </c>
      <c r="E781" s="14" t="s">
        <v>31</v>
      </c>
      <c r="F781" s="14" t="s">
        <v>32</v>
      </c>
      <c r="G781" s="7">
        <v>9</v>
      </c>
      <c r="H781" s="7">
        <v>15000</v>
      </c>
      <c r="I781" s="9">
        <v>10</v>
      </c>
      <c r="J781" s="10">
        <f>SALCE[[#This Row],[After_Discount]]*SALCE[[#This Row],[Tax_%]]/100</f>
        <v>170.1</v>
      </c>
      <c r="K781" s="11">
        <v>0.14000000000000001</v>
      </c>
      <c r="L781" s="10">
        <f>SALCE[[#This Row],[Quantity]]*SALCE[[#This Row],[Unit_Price]]</f>
        <v>135000</v>
      </c>
      <c r="M781" s="10">
        <f>SALCE[[#This Row],[Gross_Sales]]*SALCE[[#This Row],[Discount_%]]/100</f>
        <v>13500</v>
      </c>
      <c r="N781" s="10">
        <f>SALCE[[#This Row],[After_Discount]]+SALCE[[#This Row],[Tax_Value]]</f>
        <v>121670.1</v>
      </c>
      <c r="O781" s="10">
        <f>SALCE[[#This Row],[Gross_Sales]]*70%</f>
        <v>94500</v>
      </c>
      <c r="P781" s="10">
        <f>SALCE[[#This Row],[Net_Sales]]-SALCE[[#This Row],[Cost_Price]]</f>
        <v>27170.100000000006</v>
      </c>
      <c r="Q781" s="10">
        <f>SALCE[[#This Row],[Gross_Sales]]-SALCE[[#This Row],[Discount_Value]]</f>
        <v>121500</v>
      </c>
      <c r="R781" s="15" t="s">
        <v>62</v>
      </c>
      <c r="S781" s="15" t="s">
        <v>21</v>
      </c>
      <c r="T781" s="15" t="s">
        <v>27</v>
      </c>
    </row>
    <row r="782" spans="1:20" s="12" customFormat="1" ht="30" customHeight="1" thickTop="1" thickBot="1" x14ac:dyDescent="0.4">
      <c r="A782" s="7">
        <v>1781</v>
      </c>
      <c r="B782" s="8">
        <v>45708</v>
      </c>
      <c r="C782" s="14" t="s">
        <v>39</v>
      </c>
      <c r="D782" s="14" t="s">
        <v>41</v>
      </c>
      <c r="E782" s="14" t="s">
        <v>19</v>
      </c>
      <c r="F782" s="14" t="s">
        <v>20</v>
      </c>
      <c r="G782" s="7">
        <v>4</v>
      </c>
      <c r="H782" s="7">
        <v>300</v>
      </c>
      <c r="I782" s="9">
        <v>5</v>
      </c>
      <c r="J782" s="10">
        <f>SALCE[[#This Row],[After_Discount]]*SALCE[[#This Row],[Tax_%]]/100</f>
        <v>1.5960000000000003</v>
      </c>
      <c r="K782" s="11">
        <v>0.14000000000000001</v>
      </c>
      <c r="L782" s="10">
        <f>SALCE[[#This Row],[Quantity]]*SALCE[[#This Row],[Unit_Price]]</f>
        <v>1200</v>
      </c>
      <c r="M782" s="10">
        <f>SALCE[[#This Row],[Gross_Sales]]*SALCE[[#This Row],[Discount_%]]/100</f>
        <v>60</v>
      </c>
      <c r="N782" s="10">
        <f>SALCE[[#This Row],[After_Discount]]+SALCE[[#This Row],[Tax_Value]]</f>
        <v>1141.596</v>
      </c>
      <c r="O782" s="10">
        <f>SALCE[[#This Row],[Gross_Sales]]*70%</f>
        <v>840</v>
      </c>
      <c r="P782" s="10">
        <f>SALCE[[#This Row],[Net_Sales]]-SALCE[[#This Row],[Cost_Price]]</f>
        <v>301.596</v>
      </c>
      <c r="Q782" s="10">
        <f>SALCE[[#This Row],[Gross_Sales]]-SALCE[[#This Row],[Discount_Value]]</f>
        <v>1140</v>
      </c>
      <c r="R782" s="15" t="s">
        <v>51</v>
      </c>
      <c r="S782" s="15" t="s">
        <v>37</v>
      </c>
      <c r="T782" s="15" t="s">
        <v>22</v>
      </c>
    </row>
    <row r="783" spans="1:20" s="12" customFormat="1" ht="30" customHeight="1" thickTop="1" thickBot="1" x14ac:dyDescent="0.4">
      <c r="A783" s="7">
        <v>1782</v>
      </c>
      <c r="B783" s="8">
        <v>45709</v>
      </c>
      <c r="C783" s="14" t="s">
        <v>23</v>
      </c>
      <c r="D783" s="14" t="s">
        <v>24</v>
      </c>
      <c r="E783" s="14" t="s">
        <v>25</v>
      </c>
      <c r="F783" s="14" t="s">
        <v>20</v>
      </c>
      <c r="G783" s="7">
        <v>5</v>
      </c>
      <c r="H783" s="7">
        <v>500</v>
      </c>
      <c r="I783" s="9">
        <v>5</v>
      </c>
      <c r="J783" s="10">
        <f>SALCE[[#This Row],[After_Discount]]*SALCE[[#This Row],[Tax_%]]/100</f>
        <v>3.3250000000000006</v>
      </c>
      <c r="K783" s="11">
        <v>0.14000000000000001</v>
      </c>
      <c r="L783" s="10">
        <f>SALCE[[#This Row],[Quantity]]*SALCE[[#This Row],[Unit_Price]]</f>
        <v>2500</v>
      </c>
      <c r="M783" s="10">
        <f>SALCE[[#This Row],[Gross_Sales]]*SALCE[[#This Row],[Discount_%]]/100</f>
        <v>125</v>
      </c>
      <c r="N783" s="10">
        <f>SALCE[[#This Row],[After_Discount]]+SALCE[[#This Row],[Tax_Value]]</f>
        <v>2378.3249999999998</v>
      </c>
      <c r="O783" s="10">
        <f>SALCE[[#This Row],[Gross_Sales]]*70%</f>
        <v>1750</v>
      </c>
      <c r="P783" s="10">
        <f>SALCE[[#This Row],[Net_Sales]]-SALCE[[#This Row],[Cost_Price]]</f>
        <v>628.32499999999982</v>
      </c>
      <c r="Q783" s="10">
        <f>SALCE[[#This Row],[Gross_Sales]]-SALCE[[#This Row],[Discount_Value]]</f>
        <v>2375</v>
      </c>
      <c r="R783" s="15" t="s">
        <v>47</v>
      </c>
      <c r="S783" s="15" t="s">
        <v>26</v>
      </c>
      <c r="T783" s="15" t="s">
        <v>22</v>
      </c>
    </row>
    <row r="784" spans="1:20" s="12" customFormat="1" ht="30" customHeight="1" thickTop="1" thickBot="1" x14ac:dyDescent="0.4">
      <c r="A784" s="7">
        <v>1783</v>
      </c>
      <c r="B784" s="8">
        <v>45710</v>
      </c>
      <c r="C784" s="14" t="s">
        <v>39</v>
      </c>
      <c r="D784" s="14" t="s">
        <v>36</v>
      </c>
      <c r="E784" s="14" t="s">
        <v>34</v>
      </c>
      <c r="F784" s="14" t="s">
        <v>32</v>
      </c>
      <c r="G784" s="7">
        <v>4</v>
      </c>
      <c r="H784" s="7">
        <v>4000</v>
      </c>
      <c r="I784" s="9">
        <v>15</v>
      </c>
      <c r="J784" s="10">
        <f>SALCE[[#This Row],[After_Discount]]*SALCE[[#This Row],[Tax_%]]/100</f>
        <v>19.040000000000003</v>
      </c>
      <c r="K784" s="11">
        <v>0.14000000000000001</v>
      </c>
      <c r="L784" s="10">
        <f>SALCE[[#This Row],[Quantity]]*SALCE[[#This Row],[Unit_Price]]</f>
        <v>16000</v>
      </c>
      <c r="M784" s="10">
        <f>SALCE[[#This Row],[Gross_Sales]]*SALCE[[#This Row],[Discount_%]]/100</f>
        <v>2400</v>
      </c>
      <c r="N784" s="10">
        <f>SALCE[[#This Row],[After_Discount]]+SALCE[[#This Row],[Tax_Value]]</f>
        <v>13619.04</v>
      </c>
      <c r="O784" s="10">
        <f>SALCE[[#This Row],[Gross_Sales]]*70%</f>
        <v>11200</v>
      </c>
      <c r="P784" s="10">
        <f>SALCE[[#This Row],[Net_Sales]]-SALCE[[#This Row],[Cost_Price]]</f>
        <v>2419.0400000000009</v>
      </c>
      <c r="Q784" s="10">
        <f>SALCE[[#This Row],[Gross_Sales]]-SALCE[[#This Row],[Discount_Value]]</f>
        <v>13600</v>
      </c>
      <c r="R784" s="15" t="s">
        <v>51</v>
      </c>
      <c r="S784" s="15" t="s">
        <v>21</v>
      </c>
      <c r="T784" s="15" t="s">
        <v>22</v>
      </c>
    </row>
    <row r="785" spans="1:20" s="12" customFormat="1" ht="30" customHeight="1" thickTop="1" thickBot="1" x14ac:dyDescent="0.4">
      <c r="A785" s="7">
        <v>1784</v>
      </c>
      <c r="B785" s="8">
        <v>45711</v>
      </c>
      <c r="C785" s="14" t="s">
        <v>30</v>
      </c>
      <c r="D785" s="14" t="s">
        <v>18</v>
      </c>
      <c r="E785" s="14" t="s">
        <v>19</v>
      </c>
      <c r="F785" s="14" t="s">
        <v>20</v>
      </c>
      <c r="G785" s="7">
        <v>3</v>
      </c>
      <c r="H785" s="7">
        <v>300</v>
      </c>
      <c r="I785" s="9">
        <v>15</v>
      </c>
      <c r="J785" s="10">
        <f>SALCE[[#This Row],[After_Discount]]*SALCE[[#This Row],[Tax_%]]/100</f>
        <v>1.0710000000000002</v>
      </c>
      <c r="K785" s="11">
        <v>0.14000000000000001</v>
      </c>
      <c r="L785" s="10">
        <f>SALCE[[#This Row],[Quantity]]*SALCE[[#This Row],[Unit_Price]]</f>
        <v>900</v>
      </c>
      <c r="M785" s="10">
        <f>SALCE[[#This Row],[Gross_Sales]]*SALCE[[#This Row],[Discount_%]]/100</f>
        <v>135</v>
      </c>
      <c r="N785" s="10">
        <f>SALCE[[#This Row],[After_Discount]]+SALCE[[#This Row],[Tax_Value]]</f>
        <v>766.07100000000003</v>
      </c>
      <c r="O785" s="10">
        <f>SALCE[[#This Row],[Gross_Sales]]*70%</f>
        <v>630</v>
      </c>
      <c r="P785" s="10">
        <f>SALCE[[#This Row],[Net_Sales]]-SALCE[[#This Row],[Cost_Price]]</f>
        <v>136.07100000000003</v>
      </c>
      <c r="Q785" s="10">
        <f>SALCE[[#This Row],[Gross_Sales]]-SALCE[[#This Row],[Discount_Value]]</f>
        <v>765</v>
      </c>
      <c r="R785" s="15" t="s">
        <v>60</v>
      </c>
      <c r="S785" s="15" t="s">
        <v>26</v>
      </c>
      <c r="T785" s="15" t="s">
        <v>27</v>
      </c>
    </row>
    <row r="786" spans="1:20" s="12" customFormat="1" ht="30" customHeight="1" thickTop="1" thickBot="1" x14ac:dyDescent="0.4">
      <c r="A786" s="7">
        <v>1785</v>
      </c>
      <c r="B786" s="8">
        <v>45712</v>
      </c>
      <c r="C786" s="14" t="s">
        <v>17</v>
      </c>
      <c r="D786" s="14" t="s">
        <v>38</v>
      </c>
      <c r="E786" s="14" t="s">
        <v>19</v>
      </c>
      <c r="F786" s="14" t="s">
        <v>20</v>
      </c>
      <c r="G786" s="7">
        <v>5</v>
      </c>
      <c r="H786" s="7">
        <v>300</v>
      </c>
      <c r="I786" s="9">
        <v>10</v>
      </c>
      <c r="J786" s="10">
        <f>SALCE[[#This Row],[After_Discount]]*SALCE[[#This Row],[Tax_%]]/100</f>
        <v>1.8900000000000003</v>
      </c>
      <c r="K786" s="11">
        <v>0.14000000000000001</v>
      </c>
      <c r="L786" s="10">
        <f>SALCE[[#This Row],[Quantity]]*SALCE[[#This Row],[Unit_Price]]</f>
        <v>1500</v>
      </c>
      <c r="M786" s="10">
        <f>SALCE[[#This Row],[Gross_Sales]]*SALCE[[#This Row],[Discount_%]]/100</f>
        <v>150</v>
      </c>
      <c r="N786" s="10">
        <f>SALCE[[#This Row],[After_Discount]]+SALCE[[#This Row],[Tax_Value]]</f>
        <v>1351.89</v>
      </c>
      <c r="O786" s="10">
        <f>SALCE[[#This Row],[Gross_Sales]]*70%</f>
        <v>1050</v>
      </c>
      <c r="P786" s="10">
        <f>SALCE[[#This Row],[Net_Sales]]-SALCE[[#This Row],[Cost_Price]]</f>
        <v>301.8900000000001</v>
      </c>
      <c r="Q786" s="10">
        <f>SALCE[[#This Row],[Gross_Sales]]-SALCE[[#This Row],[Discount_Value]]</f>
        <v>1350</v>
      </c>
      <c r="R786" s="15" t="s">
        <v>57</v>
      </c>
      <c r="S786" s="15" t="s">
        <v>26</v>
      </c>
      <c r="T786" s="15" t="s">
        <v>27</v>
      </c>
    </row>
    <row r="787" spans="1:20" s="12" customFormat="1" ht="30" customHeight="1" thickTop="1" thickBot="1" x14ac:dyDescent="0.4">
      <c r="A787" s="7">
        <v>1786</v>
      </c>
      <c r="B787" s="8">
        <v>45713</v>
      </c>
      <c r="C787" s="14" t="s">
        <v>35</v>
      </c>
      <c r="D787" s="14" t="s">
        <v>36</v>
      </c>
      <c r="E787" s="14" t="s">
        <v>31</v>
      </c>
      <c r="F787" s="14" t="s">
        <v>32</v>
      </c>
      <c r="G787" s="7">
        <v>2</v>
      </c>
      <c r="H787" s="7">
        <v>15000</v>
      </c>
      <c r="I787" s="9">
        <v>15</v>
      </c>
      <c r="J787" s="10">
        <f>SALCE[[#This Row],[After_Discount]]*SALCE[[#This Row],[Tax_%]]/100</f>
        <v>35.700000000000003</v>
      </c>
      <c r="K787" s="11">
        <v>0.14000000000000001</v>
      </c>
      <c r="L787" s="10">
        <f>SALCE[[#This Row],[Quantity]]*SALCE[[#This Row],[Unit_Price]]</f>
        <v>30000</v>
      </c>
      <c r="M787" s="10">
        <f>SALCE[[#This Row],[Gross_Sales]]*SALCE[[#This Row],[Discount_%]]/100</f>
        <v>4500</v>
      </c>
      <c r="N787" s="10">
        <f>SALCE[[#This Row],[After_Discount]]+SALCE[[#This Row],[Tax_Value]]</f>
        <v>25535.7</v>
      </c>
      <c r="O787" s="10">
        <f>SALCE[[#This Row],[Gross_Sales]]*70%</f>
        <v>21000</v>
      </c>
      <c r="P787" s="10">
        <f>SALCE[[#This Row],[Net_Sales]]-SALCE[[#This Row],[Cost_Price]]</f>
        <v>4535.7000000000007</v>
      </c>
      <c r="Q787" s="10">
        <f>SALCE[[#This Row],[Gross_Sales]]-SALCE[[#This Row],[Discount_Value]]</f>
        <v>25500</v>
      </c>
      <c r="R787" s="15" t="s">
        <v>57</v>
      </c>
      <c r="S787" s="15" t="s">
        <v>21</v>
      </c>
      <c r="T787" s="15" t="s">
        <v>27</v>
      </c>
    </row>
    <row r="788" spans="1:20" s="12" customFormat="1" ht="30" customHeight="1" thickTop="1" thickBot="1" x14ac:dyDescent="0.4">
      <c r="A788" s="7">
        <v>1787</v>
      </c>
      <c r="B788" s="8">
        <v>45714</v>
      </c>
      <c r="C788" s="14" t="s">
        <v>28</v>
      </c>
      <c r="D788" s="14" t="s">
        <v>41</v>
      </c>
      <c r="E788" s="14" t="s">
        <v>25</v>
      </c>
      <c r="F788" s="14" t="s">
        <v>20</v>
      </c>
      <c r="G788" s="7">
        <v>2</v>
      </c>
      <c r="H788" s="7">
        <v>500</v>
      </c>
      <c r="I788" s="9">
        <v>15</v>
      </c>
      <c r="J788" s="10">
        <f>SALCE[[#This Row],[After_Discount]]*SALCE[[#This Row],[Tax_%]]/100</f>
        <v>1.1900000000000002</v>
      </c>
      <c r="K788" s="11">
        <v>0.14000000000000001</v>
      </c>
      <c r="L788" s="10">
        <f>SALCE[[#This Row],[Quantity]]*SALCE[[#This Row],[Unit_Price]]</f>
        <v>1000</v>
      </c>
      <c r="M788" s="10">
        <f>SALCE[[#This Row],[Gross_Sales]]*SALCE[[#This Row],[Discount_%]]/100</f>
        <v>150</v>
      </c>
      <c r="N788" s="10">
        <f>SALCE[[#This Row],[After_Discount]]+SALCE[[#This Row],[Tax_Value]]</f>
        <v>851.19</v>
      </c>
      <c r="O788" s="10">
        <f>SALCE[[#This Row],[Gross_Sales]]*70%</f>
        <v>700</v>
      </c>
      <c r="P788" s="10">
        <f>SALCE[[#This Row],[Net_Sales]]-SALCE[[#This Row],[Cost_Price]]</f>
        <v>151.19000000000005</v>
      </c>
      <c r="Q788" s="10">
        <f>SALCE[[#This Row],[Gross_Sales]]-SALCE[[#This Row],[Discount_Value]]</f>
        <v>850</v>
      </c>
      <c r="R788" s="15" t="s">
        <v>58</v>
      </c>
      <c r="S788" s="15" t="s">
        <v>26</v>
      </c>
      <c r="T788" s="15" t="s">
        <v>22</v>
      </c>
    </row>
    <row r="789" spans="1:20" s="12" customFormat="1" ht="30" customHeight="1" thickTop="1" thickBot="1" x14ac:dyDescent="0.4">
      <c r="A789" s="7">
        <v>1788</v>
      </c>
      <c r="B789" s="8">
        <v>45715</v>
      </c>
      <c r="C789" s="14" t="s">
        <v>35</v>
      </c>
      <c r="D789" s="14" t="s">
        <v>38</v>
      </c>
      <c r="E789" s="14" t="s">
        <v>40</v>
      </c>
      <c r="F789" s="14" t="s">
        <v>20</v>
      </c>
      <c r="G789" s="7">
        <v>10</v>
      </c>
      <c r="H789" s="7">
        <v>800</v>
      </c>
      <c r="I789" s="9">
        <v>0</v>
      </c>
      <c r="J789" s="10">
        <f>SALCE[[#This Row],[After_Discount]]*SALCE[[#This Row],[Tax_%]]/100</f>
        <v>11.2</v>
      </c>
      <c r="K789" s="11">
        <v>0.14000000000000001</v>
      </c>
      <c r="L789" s="10">
        <f>SALCE[[#This Row],[Quantity]]*SALCE[[#This Row],[Unit_Price]]</f>
        <v>8000</v>
      </c>
      <c r="M789" s="10">
        <f>SALCE[[#This Row],[Gross_Sales]]*SALCE[[#This Row],[Discount_%]]/100</f>
        <v>0</v>
      </c>
      <c r="N789" s="10">
        <f>SALCE[[#This Row],[After_Discount]]+SALCE[[#This Row],[Tax_Value]]</f>
        <v>8011.2</v>
      </c>
      <c r="O789" s="10">
        <f>SALCE[[#This Row],[Gross_Sales]]*70%</f>
        <v>5600</v>
      </c>
      <c r="P789" s="10">
        <f>SALCE[[#This Row],[Net_Sales]]-SALCE[[#This Row],[Cost_Price]]</f>
        <v>2411.1999999999998</v>
      </c>
      <c r="Q789" s="10">
        <f>SALCE[[#This Row],[Gross_Sales]]-SALCE[[#This Row],[Discount_Value]]</f>
        <v>8000</v>
      </c>
      <c r="R789" s="15" t="s">
        <v>57</v>
      </c>
      <c r="S789" s="15" t="s">
        <v>26</v>
      </c>
      <c r="T789" s="15" t="s">
        <v>22</v>
      </c>
    </row>
    <row r="790" spans="1:20" s="12" customFormat="1" ht="30" customHeight="1" thickTop="1" thickBot="1" x14ac:dyDescent="0.4">
      <c r="A790" s="7">
        <v>1789</v>
      </c>
      <c r="B790" s="8">
        <v>45716</v>
      </c>
      <c r="C790" s="14" t="s">
        <v>35</v>
      </c>
      <c r="D790" s="14" t="s">
        <v>36</v>
      </c>
      <c r="E790" s="14" t="s">
        <v>33</v>
      </c>
      <c r="F790" s="14" t="s">
        <v>32</v>
      </c>
      <c r="G790" s="7">
        <v>2</v>
      </c>
      <c r="H790" s="7">
        <v>6000</v>
      </c>
      <c r="I790" s="9">
        <v>10</v>
      </c>
      <c r="J790" s="10">
        <f>SALCE[[#This Row],[After_Discount]]*SALCE[[#This Row],[Tax_%]]/100</f>
        <v>15.120000000000003</v>
      </c>
      <c r="K790" s="11">
        <v>0.14000000000000001</v>
      </c>
      <c r="L790" s="10">
        <f>SALCE[[#This Row],[Quantity]]*SALCE[[#This Row],[Unit_Price]]</f>
        <v>12000</v>
      </c>
      <c r="M790" s="10">
        <f>SALCE[[#This Row],[Gross_Sales]]*SALCE[[#This Row],[Discount_%]]/100</f>
        <v>1200</v>
      </c>
      <c r="N790" s="10">
        <f>SALCE[[#This Row],[After_Discount]]+SALCE[[#This Row],[Tax_Value]]</f>
        <v>10815.12</v>
      </c>
      <c r="O790" s="10">
        <f>SALCE[[#This Row],[Gross_Sales]]*70%</f>
        <v>8400</v>
      </c>
      <c r="P790" s="10">
        <f>SALCE[[#This Row],[Net_Sales]]-SALCE[[#This Row],[Cost_Price]]</f>
        <v>2415.1200000000008</v>
      </c>
      <c r="Q790" s="10">
        <f>SALCE[[#This Row],[Gross_Sales]]-SALCE[[#This Row],[Discount_Value]]</f>
        <v>10800</v>
      </c>
      <c r="R790" s="15" t="s">
        <v>52</v>
      </c>
      <c r="S790" s="15" t="s">
        <v>21</v>
      </c>
      <c r="T790" s="15" t="s">
        <v>22</v>
      </c>
    </row>
    <row r="791" spans="1:20" s="12" customFormat="1" ht="30" customHeight="1" thickTop="1" thickBot="1" x14ac:dyDescent="0.4">
      <c r="A791" s="7">
        <v>1790</v>
      </c>
      <c r="B791" s="8">
        <v>45717</v>
      </c>
      <c r="C791" s="14" t="s">
        <v>23</v>
      </c>
      <c r="D791" s="14" t="s">
        <v>24</v>
      </c>
      <c r="E791" s="14" t="s">
        <v>40</v>
      </c>
      <c r="F791" s="14" t="s">
        <v>20</v>
      </c>
      <c r="G791" s="7">
        <v>6</v>
      </c>
      <c r="H791" s="7">
        <v>800</v>
      </c>
      <c r="I791" s="9">
        <v>15</v>
      </c>
      <c r="J791" s="10">
        <f>SALCE[[#This Row],[After_Discount]]*SALCE[[#This Row],[Tax_%]]/100</f>
        <v>5.7120000000000006</v>
      </c>
      <c r="K791" s="11">
        <v>0.14000000000000001</v>
      </c>
      <c r="L791" s="10">
        <f>SALCE[[#This Row],[Quantity]]*SALCE[[#This Row],[Unit_Price]]</f>
        <v>4800</v>
      </c>
      <c r="M791" s="10">
        <f>SALCE[[#This Row],[Gross_Sales]]*SALCE[[#This Row],[Discount_%]]/100</f>
        <v>720</v>
      </c>
      <c r="N791" s="10">
        <f>SALCE[[#This Row],[After_Discount]]+SALCE[[#This Row],[Tax_Value]]</f>
        <v>4085.712</v>
      </c>
      <c r="O791" s="10">
        <f>SALCE[[#This Row],[Gross_Sales]]*70%</f>
        <v>3360</v>
      </c>
      <c r="P791" s="10">
        <f>SALCE[[#This Row],[Net_Sales]]-SALCE[[#This Row],[Cost_Price]]</f>
        <v>725.71199999999999</v>
      </c>
      <c r="Q791" s="10">
        <f>SALCE[[#This Row],[Gross_Sales]]-SALCE[[#This Row],[Discount_Value]]</f>
        <v>4080</v>
      </c>
      <c r="R791" s="15" t="s">
        <v>60</v>
      </c>
      <c r="S791" s="15" t="s">
        <v>26</v>
      </c>
      <c r="T791" s="15" t="s">
        <v>22</v>
      </c>
    </row>
    <row r="792" spans="1:20" s="12" customFormat="1" ht="30" customHeight="1" thickTop="1" thickBot="1" x14ac:dyDescent="0.4">
      <c r="A792" s="7">
        <v>1791</v>
      </c>
      <c r="B792" s="8">
        <v>45718</v>
      </c>
      <c r="C792" s="14" t="s">
        <v>39</v>
      </c>
      <c r="D792" s="14" t="s">
        <v>36</v>
      </c>
      <c r="E792" s="14" t="s">
        <v>19</v>
      </c>
      <c r="F792" s="14" t="s">
        <v>20</v>
      </c>
      <c r="G792" s="7">
        <v>7</v>
      </c>
      <c r="H792" s="7">
        <v>300</v>
      </c>
      <c r="I792" s="9">
        <v>5</v>
      </c>
      <c r="J792" s="10">
        <f>SALCE[[#This Row],[After_Discount]]*SALCE[[#This Row],[Tax_%]]/100</f>
        <v>2.7930000000000001</v>
      </c>
      <c r="K792" s="11">
        <v>0.14000000000000001</v>
      </c>
      <c r="L792" s="10">
        <f>SALCE[[#This Row],[Quantity]]*SALCE[[#This Row],[Unit_Price]]</f>
        <v>2100</v>
      </c>
      <c r="M792" s="10">
        <f>SALCE[[#This Row],[Gross_Sales]]*SALCE[[#This Row],[Discount_%]]/100</f>
        <v>105</v>
      </c>
      <c r="N792" s="10">
        <f>SALCE[[#This Row],[After_Discount]]+SALCE[[#This Row],[Tax_Value]]</f>
        <v>1997.7929999999999</v>
      </c>
      <c r="O792" s="10">
        <f>SALCE[[#This Row],[Gross_Sales]]*70%</f>
        <v>1470</v>
      </c>
      <c r="P792" s="10">
        <f>SALCE[[#This Row],[Net_Sales]]-SALCE[[#This Row],[Cost_Price]]</f>
        <v>527.79299999999989</v>
      </c>
      <c r="Q792" s="10">
        <f>SALCE[[#This Row],[Gross_Sales]]-SALCE[[#This Row],[Discount_Value]]</f>
        <v>1995</v>
      </c>
      <c r="R792" s="15" t="s">
        <v>62</v>
      </c>
      <c r="S792" s="15" t="s">
        <v>21</v>
      </c>
      <c r="T792" s="15" t="s">
        <v>27</v>
      </c>
    </row>
    <row r="793" spans="1:20" s="12" customFormat="1" ht="30" customHeight="1" thickTop="1" thickBot="1" x14ac:dyDescent="0.4">
      <c r="A793" s="7">
        <v>1792</v>
      </c>
      <c r="B793" s="8">
        <v>45719</v>
      </c>
      <c r="C793" s="14" t="s">
        <v>30</v>
      </c>
      <c r="D793" s="14" t="s">
        <v>29</v>
      </c>
      <c r="E793" s="14" t="s">
        <v>31</v>
      </c>
      <c r="F793" s="14" t="s">
        <v>32</v>
      </c>
      <c r="G793" s="7">
        <v>2</v>
      </c>
      <c r="H793" s="7">
        <v>15000</v>
      </c>
      <c r="I793" s="9">
        <v>10</v>
      </c>
      <c r="J793" s="10">
        <f>SALCE[[#This Row],[After_Discount]]*SALCE[[#This Row],[Tax_%]]/100</f>
        <v>37.800000000000004</v>
      </c>
      <c r="K793" s="11">
        <v>0.14000000000000001</v>
      </c>
      <c r="L793" s="10">
        <f>SALCE[[#This Row],[Quantity]]*SALCE[[#This Row],[Unit_Price]]</f>
        <v>30000</v>
      </c>
      <c r="M793" s="10">
        <f>SALCE[[#This Row],[Gross_Sales]]*SALCE[[#This Row],[Discount_%]]/100</f>
        <v>3000</v>
      </c>
      <c r="N793" s="10">
        <f>SALCE[[#This Row],[After_Discount]]+SALCE[[#This Row],[Tax_Value]]</f>
        <v>27037.8</v>
      </c>
      <c r="O793" s="10">
        <f>SALCE[[#This Row],[Gross_Sales]]*70%</f>
        <v>21000</v>
      </c>
      <c r="P793" s="10">
        <f>SALCE[[#This Row],[Net_Sales]]-SALCE[[#This Row],[Cost_Price]]</f>
        <v>6037.7999999999993</v>
      </c>
      <c r="Q793" s="10">
        <f>SALCE[[#This Row],[Gross_Sales]]-SALCE[[#This Row],[Discount_Value]]</f>
        <v>27000</v>
      </c>
      <c r="R793" s="15" t="s">
        <v>54</v>
      </c>
      <c r="S793" s="15" t="s">
        <v>21</v>
      </c>
      <c r="T793" s="15" t="s">
        <v>27</v>
      </c>
    </row>
    <row r="794" spans="1:20" s="12" customFormat="1" ht="30" customHeight="1" thickTop="1" thickBot="1" x14ac:dyDescent="0.4">
      <c r="A794" s="7">
        <v>1793</v>
      </c>
      <c r="B794" s="8">
        <v>45720</v>
      </c>
      <c r="C794" s="14" t="s">
        <v>23</v>
      </c>
      <c r="D794" s="14" t="s">
        <v>38</v>
      </c>
      <c r="E794" s="14" t="s">
        <v>33</v>
      </c>
      <c r="F794" s="14" t="s">
        <v>32</v>
      </c>
      <c r="G794" s="7">
        <v>8</v>
      </c>
      <c r="H794" s="7">
        <v>6000</v>
      </c>
      <c r="I794" s="9">
        <v>10</v>
      </c>
      <c r="J794" s="10">
        <f>SALCE[[#This Row],[After_Discount]]*SALCE[[#This Row],[Tax_%]]/100</f>
        <v>60.480000000000011</v>
      </c>
      <c r="K794" s="11">
        <v>0.14000000000000001</v>
      </c>
      <c r="L794" s="10">
        <f>SALCE[[#This Row],[Quantity]]*SALCE[[#This Row],[Unit_Price]]</f>
        <v>48000</v>
      </c>
      <c r="M794" s="10">
        <f>SALCE[[#This Row],[Gross_Sales]]*SALCE[[#This Row],[Discount_%]]/100</f>
        <v>4800</v>
      </c>
      <c r="N794" s="10">
        <f>SALCE[[#This Row],[After_Discount]]+SALCE[[#This Row],[Tax_Value]]</f>
        <v>43260.480000000003</v>
      </c>
      <c r="O794" s="10">
        <f>SALCE[[#This Row],[Gross_Sales]]*70%</f>
        <v>33600</v>
      </c>
      <c r="P794" s="10">
        <f>SALCE[[#This Row],[Net_Sales]]-SALCE[[#This Row],[Cost_Price]]</f>
        <v>9660.4800000000032</v>
      </c>
      <c r="Q794" s="10">
        <f>SALCE[[#This Row],[Gross_Sales]]-SALCE[[#This Row],[Discount_Value]]</f>
        <v>43200</v>
      </c>
      <c r="R794" s="15" t="s">
        <v>60</v>
      </c>
      <c r="S794" s="15" t="s">
        <v>37</v>
      </c>
      <c r="T794" s="15" t="s">
        <v>27</v>
      </c>
    </row>
    <row r="795" spans="1:20" s="12" customFormat="1" ht="30" customHeight="1" thickTop="1" thickBot="1" x14ac:dyDescent="0.4">
      <c r="A795" s="7">
        <v>1794</v>
      </c>
      <c r="B795" s="8">
        <v>45721</v>
      </c>
      <c r="C795" s="14" t="s">
        <v>28</v>
      </c>
      <c r="D795" s="14" t="s">
        <v>41</v>
      </c>
      <c r="E795" s="14" t="s">
        <v>34</v>
      </c>
      <c r="F795" s="14" t="s">
        <v>32</v>
      </c>
      <c r="G795" s="7">
        <v>9</v>
      </c>
      <c r="H795" s="7">
        <v>4000</v>
      </c>
      <c r="I795" s="9">
        <v>10</v>
      </c>
      <c r="J795" s="10">
        <f>SALCE[[#This Row],[After_Discount]]*SALCE[[#This Row],[Tax_%]]/100</f>
        <v>45.36</v>
      </c>
      <c r="K795" s="11">
        <v>0.14000000000000001</v>
      </c>
      <c r="L795" s="10">
        <f>SALCE[[#This Row],[Quantity]]*SALCE[[#This Row],[Unit_Price]]</f>
        <v>36000</v>
      </c>
      <c r="M795" s="10">
        <f>SALCE[[#This Row],[Gross_Sales]]*SALCE[[#This Row],[Discount_%]]/100</f>
        <v>3600</v>
      </c>
      <c r="N795" s="10">
        <f>SALCE[[#This Row],[After_Discount]]+SALCE[[#This Row],[Tax_Value]]</f>
        <v>32445.360000000001</v>
      </c>
      <c r="O795" s="10">
        <f>SALCE[[#This Row],[Gross_Sales]]*70%</f>
        <v>25200</v>
      </c>
      <c r="P795" s="10">
        <f>SALCE[[#This Row],[Net_Sales]]-SALCE[[#This Row],[Cost_Price]]</f>
        <v>7245.3600000000006</v>
      </c>
      <c r="Q795" s="10">
        <f>SALCE[[#This Row],[Gross_Sales]]-SALCE[[#This Row],[Discount_Value]]</f>
        <v>32400</v>
      </c>
      <c r="R795" s="15" t="s">
        <v>62</v>
      </c>
      <c r="S795" s="15" t="s">
        <v>21</v>
      </c>
      <c r="T795" s="15" t="s">
        <v>22</v>
      </c>
    </row>
    <row r="796" spans="1:20" s="12" customFormat="1" ht="30" customHeight="1" thickTop="1" thickBot="1" x14ac:dyDescent="0.4">
      <c r="A796" s="7">
        <v>1795</v>
      </c>
      <c r="B796" s="8">
        <v>45722</v>
      </c>
      <c r="C796" s="14" t="s">
        <v>35</v>
      </c>
      <c r="D796" s="14" t="s">
        <v>38</v>
      </c>
      <c r="E796" s="14" t="s">
        <v>34</v>
      </c>
      <c r="F796" s="14" t="s">
        <v>32</v>
      </c>
      <c r="G796" s="7">
        <v>1</v>
      </c>
      <c r="H796" s="7">
        <v>4000</v>
      </c>
      <c r="I796" s="9">
        <v>10</v>
      </c>
      <c r="J796" s="10">
        <f>SALCE[[#This Row],[After_Discount]]*SALCE[[#This Row],[Tax_%]]/100</f>
        <v>5.0400000000000009</v>
      </c>
      <c r="K796" s="11">
        <v>0.14000000000000001</v>
      </c>
      <c r="L796" s="10">
        <f>SALCE[[#This Row],[Quantity]]*SALCE[[#This Row],[Unit_Price]]</f>
        <v>4000</v>
      </c>
      <c r="M796" s="10">
        <f>SALCE[[#This Row],[Gross_Sales]]*SALCE[[#This Row],[Discount_%]]/100</f>
        <v>400</v>
      </c>
      <c r="N796" s="10">
        <f>SALCE[[#This Row],[After_Discount]]+SALCE[[#This Row],[Tax_Value]]</f>
        <v>3605.04</v>
      </c>
      <c r="O796" s="10">
        <f>SALCE[[#This Row],[Gross_Sales]]*70%</f>
        <v>2800</v>
      </c>
      <c r="P796" s="10">
        <f>SALCE[[#This Row],[Net_Sales]]-SALCE[[#This Row],[Cost_Price]]</f>
        <v>805.04</v>
      </c>
      <c r="Q796" s="10">
        <f>SALCE[[#This Row],[Gross_Sales]]-SALCE[[#This Row],[Discount_Value]]</f>
        <v>3600</v>
      </c>
      <c r="R796" s="15" t="s">
        <v>49</v>
      </c>
      <c r="S796" s="15" t="s">
        <v>21</v>
      </c>
      <c r="T796" s="15" t="s">
        <v>22</v>
      </c>
    </row>
    <row r="797" spans="1:20" s="12" customFormat="1" ht="30" customHeight="1" thickTop="1" thickBot="1" x14ac:dyDescent="0.4">
      <c r="A797" s="7">
        <v>1796</v>
      </c>
      <c r="B797" s="8">
        <v>45723</v>
      </c>
      <c r="C797" s="14" t="s">
        <v>39</v>
      </c>
      <c r="D797" s="14" t="s">
        <v>24</v>
      </c>
      <c r="E797" s="14" t="s">
        <v>33</v>
      </c>
      <c r="F797" s="14" t="s">
        <v>32</v>
      </c>
      <c r="G797" s="7">
        <v>10</v>
      </c>
      <c r="H797" s="7">
        <v>6000</v>
      </c>
      <c r="I797" s="9">
        <v>10</v>
      </c>
      <c r="J797" s="10">
        <f>SALCE[[#This Row],[After_Discount]]*SALCE[[#This Row],[Tax_%]]/100</f>
        <v>75.600000000000009</v>
      </c>
      <c r="K797" s="11">
        <v>0.14000000000000001</v>
      </c>
      <c r="L797" s="10">
        <f>SALCE[[#This Row],[Quantity]]*SALCE[[#This Row],[Unit_Price]]</f>
        <v>60000</v>
      </c>
      <c r="M797" s="10">
        <f>SALCE[[#This Row],[Gross_Sales]]*SALCE[[#This Row],[Discount_%]]/100</f>
        <v>6000</v>
      </c>
      <c r="N797" s="10">
        <f>SALCE[[#This Row],[After_Discount]]+SALCE[[#This Row],[Tax_Value]]</f>
        <v>54075.6</v>
      </c>
      <c r="O797" s="10">
        <f>SALCE[[#This Row],[Gross_Sales]]*70%</f>
        <v>42000</v>
      </c>
      <c r="P797" s="10">
        <f>SALCE[[#This Row],[Net_Sales]]-SALCE[[#This Row],[Cost_Price]]</f>
        <v>12075.599999999999</v>
      </c>
      <c r="Q797" s="10">
        <f>SALCE[[#This Row],[Gross_Sales]]-SALCE[[#This Row],[Discount_Value]]</f>
        <v>54000</v>
      </c>
      <c r="R797" s="15" t="s">
        <v>58</v>
      </c>
      <c r="S797" s="15" t="s">
        <v>37</v>
      </c>
      <c r="T797" s="15" t="s">
        <v>27</v>
      </c>
    </row>
    <row r="798" spans="1:20" s="12" customFormat="1" ht="30" customHeight="1" thickTop="1" thickBot="1" x14ac:dyDescent="0.4">
      <c r="A798" s="7">
        <v>1797</v>
      </c>
      <c r="B798" s="8">
        <v>45724</v>
      </c>
      <c r="C798" s="14" t="s">
        <v>17</v>
      </c>
      <c r="D798" s="14" t="s">
        <v>29</v>
      </c>
      <c r="E798" s="14" t="s">
        <v>19</v>
      </c>
      <c r="F798" s="14" t="s">
        <v>20</v>
      </c>
      <c r="G798" s="7">
        <v>4</v>
      </c>
      <c r="H798" s="7">
        <v>300</v>
      </c>
      <c r="I798" s="9">
        <v>5</v>
      </c>
      <c r="J798" s="10">
        <f>SALCE[[#This Row],[After_Discount]]*SALCE[[#This Row],[Tax_%]]/100</f>
        <v>1.5960000000000003</v>
      </c>
      <c r="K798" s="11">
        <v>0.14000000000000001</v>
      </c>
      <c r="L798" s="10">
        <f>SALCE[[#This Row],[Quantity]]*SALCE[[#This Row],[Unit_Price]]</f>
        <v>1200</v>
      </c>
      <c r="M798" s="10">
        <f>SALCE[[#This Row],[Gross_Sales]]*SALCE[[#This Row],[Discount_%]]/100</f>
        <v>60</v>
      </c>
      <c r="N798" s="10">
        <f>SALCE[[#This Row],[After_Discount]]+SALCE[[#This Row],[Tax_Value]]</f>
        <v>1141.596</v>
      </c>
      <c r="O798" s="10">
        <f>SALCE[[#This Row],[Gross_Sales]]*70%</f>
        <v>840</v>
      </c>
      <c r="P798" s="10">
        <f>SALCE[[#This Row],[Net_Sales]]-SALCE[[#This Row],[Cost_Price]]</f>
        <v>301.596</v>
      </c>
      <c r="Q798" s="10">
        <f>SALCE[[#This Row],[Gross_Sales]]-SALCE[[#This Row],[Discount_Value]]</f>
        <v>1140</v>
      </c>
      <c r="R798" s="15" t="s">
        <v>53</v>
      </c>
      <c r="S798" s="15" t="s">
        <v>37</v>
      </c>
      <c r="T798" s="15" t="s">
        <v>27</v>
      </c>
    </row>
    <row r="799" spans="1:20" s="12" customFormat="1" ht="30" customHeight="1" thickTop="1" thickBot="1" x14ac:dyDescent="0.4">
      <c r="A799" s="7">
        <v>1798</v>
      </c>
      <c r="B799" s="8">
        <v>45725</v>
      </c>
      <c r="C799" s="14" t="s">
        <v>35</v>
      </c>
      <c r="D799" s="14" t="s">
        <v>41</v>
      </c>
      <c r="E799" s="14" t="s">
        <v>33</v>
      </c>
      <c r="F799" s="14" t="s">
        <v>32</v>
      </c>
      <c r="G799" s="7">
        <v>8</v>
      </c>
      <c r="H799" s="7">
        <v>6000</v>
      </c>
      <c r="I799" s="9">
        <v>5</v>
      </c>
      <c r="J799" s="10">
        <f>SALCE[[#This Row],[After_Discount]]*SALCE[[#This Row],[Tax_%]]/100</f>
        <v>63.840000000000011</v>
      </c>
      <c r="K799" s="11">
        <v>0.14000000000000001</v>
      </c>
      <c r="L799" s="10">
        <f>SALCE[[#This Row],[Quantity]]*SALCE[[#This Row],[Unit_Price]]</f>
        <v>48000</v>
      </c>
      <c r="M799" s="10">
        <f>SALCE[[#This Row],[Gross_Sales]]*SALCE[[#This Row],[Discount_%]]/100</f>
        <v>2400</v>
      </c>
      <c r="N799" s="10">
        <f>SALCE[[#This Row],[After_Discount]]+SALCE[[#This Row],[Tax_Value]]</f>
        <v>45663.839999999997</v>
      </c>
      <c r="O799" s="10">
        <f>SALCE[[#This Row],[Gross_Sales]]*70%</f>
        <v>33600</v>
      </c>
      <c r="P799" s="10">
        <f>SALCE[[#This Row],[Net_Sales]]-SALCE[[#This Row],[Cost_Price]]</f>
        <v>12063.839999999997</v>
      </c>
      <c r="Q799" s="10">
        <f>SALCE[[#This Row],[Gross_Sales]]-SALCE[[#This Row],[Discount_Value]]</f>
        <v>45600</v>
      </c>
      <c r="R799" s="15" t="s">
        <v>62</v>
      </c>
      <c r="S799" s="15" t="s">
        <v>26</v>
      </c>
      <c r="T799" s="15" t="s">
        <v>27</v>
      </c>
    </row>
    <row r="800" spans="1:20" s="12" customFormat="1" ht="30" customHeight="1" thickTop="1" thickBot="1" x14ac:dyDescent="0.4">
      <c r="A800" s="7">
        <v>1799</v>
      </c>
      <c r="B800" s="8">
        <v>45726</v>
      </c>
      <c r="C800" s="14" t="s">
        <v>30</v>
      </c>
      <c r="D800" s="14" t="s">
        <v>29</v>
      </c>
      <c r="E800" s="14" t="s">
        <v>31</v>
      </c>
      <c r="F800" s="14" t="s">
        <v>32</v>
      </c>
      <c r="G800" s="7">
        <v>4</v>
      </c>
      <c r="H800" s="7">
        <v>15000</v>
      </c>
      <c r="I800" s="9">
        <v>5</v>
      </c>
      <c r="J800" s="10">
        <f>SALCE[[#This Row],[After_Discount]]*SALCE[[#This Row],[Tax_%]]/100</f>
        <v>79.800000000000011</v>
      </c>
      <c r="K800" s="11">
        <v>0.14000000000000001</v>
      </c>
      <c r="L800" s="10">
        <f>SALCE[[#This Row],[Quantity]]*SALCE[[#This Row],[Unit_Price]]</f>
        <v>60000</v>
      </c>
      <c r="M800" s="10">
        <f>SALCE[[#This Row],[Gross_Sales]]*SALCE[[#This Row],[Discount_%]]/100</f>
        <v>3000</v>
      </c>
      <c r="N800" s="10">
        <f>SALCE[[#This Row],[After_Discount]]+SALCE[[#This Row],[Tax_Value]]</f>
        <v>57079.8</v>
      </c>
      <c r="O800" s="10">
        <f>SALCE[[#This Row],[Gross_Sales]]*70%</f>
        <v>42000</v>
      </c>
      <c r="P800" s="10">
        <f>SALCE[[#This Row],[Net_Sales]]-SALCE[[#This Row],[Cost_Price]]</f>
        <v>15079.800000000003</v>
      </c>
      <c r="Q800" s="10">
        <f>SALCE[[#This Row],[Gross_Sales]]-SALCE[[#This Row],[Discount_Value]]</f>
        <v>57000</v>
      </c>
      <c r="R800" s="15" t="s">
        <v>61</v>
      </c>
      <c r="S800" s="15" t="s">
        <v>21</v>
      </c>
      <c r="T800" s="15" t="s">
        <v>27</v>
      </c>
    </row>
    <row r="801" spans="1:20" s="12" customFormat="1" ht="30" customHeight="1" thickTop="1" thickBot="1" x14ac:dyDescent="0.4">
      <c r="A801" s="7">
        <v>1800</v>
      </c>
      <c r="B801" s="8">
        <v>45727</v>
      </c>
      <c r="C801" s="14" t="s">
        <v>35</v>
      </c>
      <c r="D801" s="14" t="s">
        <v>41</v>
      </c>
      <c r="E801" s="14" t="s">
        <v>34</v>
      </c>
      <c r="F801" s="14" t="s">
        <v>32</v>
      </c>
      <c r="G801" s="7">
        <v>7</v>
      </c>
      <c r="H801" s="7">
        <v>4000</v>
      </c>
      <c r="I801" s="9">
        <v>10</v>
      </c>
      <c r="J801" s="10">
        <f>SALCE[[#This Row],[After_Discount]]*SALCE[[#This Row],[Tax_%]]/100</f>
        <v>35.28</v>
      </c>
      <c r="K801" s="11">
        <v>0.14000000000000001</v>
      </c>
      <c r="L801" s="10">
        <f>SALCE[[#This Row],[Quantity]]*SALCE[[#This Row],[Unit_Price]]</f>
        <v>28000</v>
      </c>
      <c r="M801" s="10">
        <f>SALCE[[#This Row],[Gross_Sales]]*SALCE[[#This Row],[Discount_%]]/100</f>
        <v>2800</v>
      </c>
      <c r="N801" s="10">
        <f>SALCE[[#This Row],[After_Discount]]+SALCE[[#This Row],[Tax_Value]]</f>
        <v>25235.279999999999</v>
      </c>
      <c r="O801" s="10">
        <f>SALCE[[#This Row],[Gross_Sales]]*70%</f>
        <v>19600</v>
      </c>
      <c r="P801" s="10">
        <f>SALCE[[#This Row],[Net_Sales]]-SALCE[[#This Row],[Cost_Price]]</f>
        <v>5635.2799999999988</v>
      </c>
      <c r="Q801" s="10">
        <f>SALCE[[#This Row],[Gross_Sales]]-SALCE[[#This Row],[Discount_Value]]</f>
        <v>25200</v>
      </c>
      <c r="R801" s="15" t="s">
        <v>61</v>
      </c>
      <c r="S801" s="15" t="s">
        <v>26</v>
      </c>
      <c r="T801" s="15" t="s">
        <v>22</v>
      </c>
    </row>
    <row r="802" spans="1:20" ht="21.75" thickTop="1" x14ac:dyDescent="0.35"/>
  </sheetData>
  <phoneticPr fontId="2" type="noConversion"/>
  <conditionalFormatting sqref="A2:B801 G2:K801 M2:M801 O2:Q801">
    <cfRule type="cellIs" dxfId="2" priority="4" operator="greaterThan">
      <formula>75000</formula>
    </cfRule>
    <cfRule type="dataBar" priority="5">
      <dataBar>
        <cfvo type="min"/>
        <cfvo type="max"/>
        <color rgb="FF63C384"/>
      </dataBar>
      <extLst>
        <ext xmlns:x14="http://schemas.microsoft.com/office/spreadsheetml/2009/9/main" uri="{B025F937-C7B1-47D3-B67F-A62EFF666E3E}">
          <x14:id>{FC103471-1E10-4BA0-ABDC-67514F3BC7B2}</x14:id>
        </ext>
      </extLst>
    </cfRule>
    <cfRule type="iconSet" priority="6">
      <iconSet iconSet="3Arrows">
        <cfvo type="percent" val="0"/>
        <cfvo type="percent" val="33"/>
        <cfvo type="percent" val="67"/>
      </iconSet>
    </cfRule>
  </conditionalFormatting>
  <conditionalFormatting sqref="L1:L1048576">
    <cfRule type="top10" dxfId="1" priority="2" bottom="1" rank="10"/>
    <cfRule type="top10" dxfId="0" priority="3" rank="10"/>
  </conditionalFormatting>
  <conditionalFormatting sqref="N1:N1048576">
    <cfRule type="dataBar" priority="1">
      <dataBar>
        <cfvo type="min"/>
        <cfvo type="max"/>
        <color rgb="FF63C384"/>
      </dataBar>
      <extLst>
        <ext xmlns:x14="http://schemas.microsoft.com/office/spreadsheetml/2009/9/main" uri="{B025F937-C7B1-47D3-B67F-A62EFF666E3E}">
          <x14:id>{4B991DB9-0D84-4346-A340-881610ADB5DF}</x14:id>
        </ext>
      </extLs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C103471-1E10-4BA0-ABDC-67514F3BC7B2}">
            <x14:dataBar minLength="0" maxLength="100" gradient="0">
              <x14:cfvo type="autoMin"/>
              <x14:cfvo type="autoMax"/>
              <x14:negativeFillColor rgb="FFFF0000"/>
              <x14:axisColor rgb="FF000000"/>
            </x14:dataBar>
          </x14:cfRule>
          <xm:sqref>A2:B801 G2:K801 M2:M801 O2:Q801</xm:sqref>
        </x14:conditionalFormatting>
        <x14:conditionalFormatting xmlns:xm="http://schemas.microsoft.com/office/excel/2006/main">
          <x14:cfRule type="dataBar" id="{4B991DB9-0D84-4346-A340-881610ADB5DF}">
            <x14:dataBar minLength="0" maxLength="100" border="1" negativeBarBorderColorSameAsPositive="0">
              <x14:cfvo type="autoMin"/>
              <x14:cfvo type="autoMax"/>
              <x14:borderColor rgb="FF63C384"/>
              <x14:negativeFillColor rgb="FFFF0000"/>
              <x14:negativeBorderColor rgb="FFFF0000"/>
              <x14:axisColor rgb="FF000000"/>
            </x14:dataBar>
          </x14:cfRule>
          <xm:sqref>N1:N1048576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E407B739-9894-41AA-B0B5-A75BBD8CE806}">
          <x14:formula1>
            <xm:f>DataBase!$M$7:$M$20</xm:f>
          </x14:formula1>
          <xm:sqref>R1:R801 R802:R1048576</xm:sqref>
        </x14:dataValidation>
        <x14:dataValidation type="list" allowBlank="1" showInputMessage="1" showErrorMessage="1" xr:uid="{B31B689E-EF46-4310-A692-422ADD8AF68A}">
          <x14:formula1>
            <xm:f>DataBase!$K$7:$K$9</xm:f>
          </x14:formula1>
          <xm:sqref>S1:S801 S802:S1048576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BB718-800D-4A74-BC34-68690E2DE243}">
  <sheetPr>
    <tabColor rgb="FF00B0F0"/>
  </sheetPr>
  <dimension ref="A3:B10"/>
  <sheetViews>
    <sheetView workbookViewId="0">
      <selection activeCell="D20" sqref="D20"/>
    </sheetView>
  </sheetViews>
  <sheetFormatPr defaultRowHeight="15" x14ac:dyDescent="0.25"/>
  <cols>
    <col min="1" max="1" width="13.140625" bestFit="1" customWidth="1"/>
    <col min="2" max="2" width="22.5703125" bestFit="1" customWidth="1"/>
    <col min="3" max="3" width="21.140625" bestFit="1" customWidth="1"/>
  </cols>
  <sheetData>
    <row r="3" spans="1:2" x14ac:dyDescent="0.25">
      <c r="A3" s="13" t="s">
        <v>63</v>
      </c>
      <c r="B3" t="s">
        <v>68</v>
      </c>
    </row>
    <row r="4" spans="1:2" x14ac:dyDescent="0.25">
      <c r="A4" s="6" t="s">
        <v>40</v>
      </c>
      <c r="B4" s="24">
        <v>535480</v>
      </c>
    </row>
    <row r="5" spans="1:2" x14ac:dyDescent="0.25">
      <c r="A5" s="6" t="s">
        <v>25</v>
      </c>
      <c r="B5" s="24">
        <v>328575</v>
      </c>
    </row>
    <row r="6" spans="1:2" x14ac:dyDescent="0.25">
      <c r="A6" s="6" t="s">
        <v>31</v>
      </c>
      <c r="B6" s="24">
        <v>8865000</v>
      </c>
    </row>
    <row r="7" spans="1:2" x14ac:dyDescent="0.25">
      <c r="A7" s="6" t="s">
        <v>34</v>
      </c>
      <c r="B7" s="24">
        <v>2841400</v>
      </c>
    </row>
    <row r="8" spans="1:2" x14ac:dyDescent="0.25">
      <c r="A8" s="6" t="s">
        <v>19</v>
      </c>
      <c r="B8" s="24">
        <v>196965</v>
      </c>
    </row>
    <row r="9" spans="1:2" x14ac:dyDescent="0.25">
      <c r="A9" s="6" t="s">
        <v>33</v>
      </c>
      <c r="B9" s="24">
        <v>3584400</v>
      </c>
    </row>
    <row r="10" spans="1:2" x14ac:dyDescent="0.25">
      <c r="A10" s="6" t="s">
        <v>64</v>
      </c>
      <c r="B10" s="24">
        <v>16351820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AB6F6-6770-4881-8C5E-6824B33F9598}">
  <sheetPr>
    <tabColor rgb="FF7030A0"/>
  </sheetPr>
  <dimension ref="A3:B10"/>
  <sheetViews>
    <sheetView workbookViewId="0">
      <selection activeCell="E27" sqref="E27"/>
    </sheetView>
  </sheetViews>
  <sheetFormatPr defaultRowHeight="15" x14ac:dyDescent="0.25"/>
  <cols>
    <col min="1" max="1" width="13.140625" bestFit="1" customWidth="1"/>
    <col min="2" max="2" width="18.140625" bestFit="1" customWidth="1"/>
    <col min="3" max="3" width="21.85546875" bestFit="1" customWidth="1"/>
  </cols>
  <sheetData>
    <row r="3" spans="1:2" x14ac:dyDescent="0.25">
      <c r="A3" s="13" t="s">
        <v>63</v>
      </c>
      <c r="B3" t="s">
        <v>67</v>
      </c>
    </row>
    <row r="4" spans="1:2" x14ac:dyDescent="0.25">
      <c r="A4" s="6" t="s">
        <v>40</v>
      </c>
      <c r="B4" s="24">
        <v>1020</v>
      </c>
    </row>
    <row r="5" spans="1:2" x14ac:dyDescent="0.25">
      <c r="A5" s="6" t="s">
        <v>25</v>
      </c>
      <c r="B5" s="24">
        <v>970</v>
      </c>
    </row>
    <row r="6" spans="1:2" x14ac:dyDescent="0.25">
      <c r="A6" s="6" t="s">
        <v>31</v>
      </c>
      <c r="B6" s="24">
        <v>1035</v>
      </c>
    </row>
    <row r="7" spans="1:2" x14ac:dyDescent="0.25">
      <c r="A7" s="6" t="s">
        <v>34</v>
      </c>
      <c r="B7" s="24">
        <v>1075</v>
      </c>
    </row>
    <row r="8" spans="1:2" x14ac:dyDescent="0.25">
      <c r="A8" s="6" t="s">
        <v>19</v>
      </c>
      <c r="B8" s="24">
        <v>1020</v>
      </c>
    </row>
    <row r="9" spans="1:2" x14ac:dyDescent="0.25">
      <c r="A9" s="6" t="s">
        <v>33</v>
      </c>
      <c r="B9" s="24">
        <v>895</v>
      </c>
    </row>
    <row r="10" spans="1:2" x14ac:dyDescent="0.25">
      <c r="A10" s="6" t="s">
        <v>64</v>
      </c>
      <c r="B10" s="24">
        <v>6015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A984-93D1-4B52-9465-AA182179E47A}">
  <sheetPr>
    <tabColor rgb="FF0070C0"/>
  </sheetPr>
  <dimension ref="H6:M20"/>
  <sheetViews>
    <sheetView workbookViewId="0">
      <selection activeCell="H6" sqref="H6:H21"/>
    </sheetView>
  </sheetViews>
  <sheetFormatPr defaultRowHeight="15" x14ac:dyDescent="0.25"/>
  <cols>
    <col min="8" max="8" width="11" customWidth="1"/>
    <col min="11" max="11" width="22.7109375" customWidth="1"/>
    <col min="12" max="12" width="7.5703125" customWidth="1"/>
    <col min="13" max="13" width="25" customWidth="1"/>
  </cols>
  <sheetData>
    <row r="6" spans="8:13" x14ac:dyDescent="0.25">
      <c r="H6" t="s">
        <v>72</v>
      </c>
      <c r="K6" t="s">
        <v>15</v>
      </c>
      <c r="M6" t="s">
        <v>45</v>
      </c>
    </row>
    <row r="7" spans="8:13" x14ac:dyDescent="0.25">
      <c r="K7" t="s">
        <v>21</v>
      </c>
      <c r="M7" t="s">
        <v>46</v>
      </c>
    </row>
    <row r="8" spans="8:13" x14ac:dyDescent="0.25">
      <c r="K8" t="s">
        <v>26</v>
      </c>
      <c r="M8" t="s">
        <v>47</v>
      </c>
    </row>
    <row r="9" spans="8:13" x14ac:dyDescent="0.25">
      <c r="K9" t="s">
        <v>37</v>
      </c>
      <c r="M9" t="s">
        <v>48</v>
      </c>
    </row>
    <row r="10" spans="8:13" x14ac:dyDescent="0.25">
      <c r="M10" t="s">
        <v>49</v>
      </c>
    </row>
    <row r="11" spans="8:13" x14ac:dyDescent="0.25">
      <c r="M11" t="s">
        <v>50</v>
      </c>
    </row>
    <row r="12" spans="8:13" x14ac:dyDescent="0.25">
      <c r="M12" t="s">
        <v>51</v>
      </c>
    </row>
    <row r="13" spans="8:13" x14ac:dyDescent="0.25">
      <c r="M13" t="s">
        <v>52</v>
      </c>
    </row>
    <row r="14" spans="8:13" x14ac:dyDescent="0.25">
      <c r="M14" t="s">
        <v>53</v>
      </c>
    </row>
    <row r="15" spans="8:13" x14ac:dyDescent="0.25">
      <c r="M15" t="s">
        <v>54</v>
      </c>
    </row>
    <row r="16" spans="8:13" x14ac:dyDescent="0.25">
      <c r="M16" t="s">
        <v>55</v>
      </c>
    </row>
    <row r="17" spans="13:13" x14ac:dyDescent="0.25">
      <c r="M17" t="s">
        <v>56</v>
      </c>
    </row>
    <row r="18" spans="13:13" x14ac:dyDescent="0.25">
      <c r="M18" t="s">
        <v>57</v>
      </c>
    </row>
    <row r="19" spans="13:13" x14ac:dyDescent="0.25">
      <c r="M19" t="s">
        <v>58</v>
      </c>
    </row>
    <row r="20" spans="13:13" x14ac:dyDescent="0.25">
      <c r="M20" t="s">
        <v>59</v>
      </c>
    </row>
  </sheetData>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B480F-DBA8-4FAD-B621-C53326068F9A}">
  <sheetPr>
    <tabColor theme="9" tint="-0.499984740745262"/>
  </sheetPr>
  <dimension ref="A1"/>
  <sheetViews>
    <sheetView showGridLines="0" showRowColHeaders="0" tabSelected="1" topLeftCell="C4" zoomScale="70" zoomScaleNormal="70" workbookViewId="0">
      <selection activeCell="C18" sqref="C18"/>
    </sheetView>
  </sheetViews>
  <sheetFormatPr defaultRowHeight="15" x14ac:dyDescent="0.25"/>
  <cols>
    <col min="1" max="16384" width="9.140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 Gross_sales</vt:lpstr>
      <vt:lpstr>COST&amp;PROFIT</vt:lpstr>
      <vt:lpstr>Sheet1</vt:lpstr>
      <vt:lpstr>Basic</vt:lpstr>
      <vt:lpstr>quanty,afterdiscount</vt:lpstr>
      <vt:lpstr>discount</vt:lpstr>
      <vt:lpstr>DataBase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Yousef Madin</cp:lastModifiedBy>
  <dcterms:created xsi:type="dcterms:W3CDTF">2026-06-23T08:09:35Z</dcterms:created>
  <dcterms:modified xsi:type="dcterms:W3CDTF">2026-07-07T10:07:44Z</dcterms:modified>
</cp:coreProperties>
</file>